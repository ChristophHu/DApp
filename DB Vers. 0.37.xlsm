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71d490e8ef34e3f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d1693f4cace421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24225132\Desktop\_Projekte\Projekte\Projekt ET\"/>
    </mc:Choice>
  </mc:AlternateContent>
  <bookViews>
    <workbookView xWindow="0" yWindow="0" windowWidth="25200" windowHeight="12270" activeTab="3"/>
  </bookViews>
  <sheets>
    <sheet name="Info" sheetId="1" r:id="rId1"/>
    <sheet name="Tabelle1" sheetId="2" r:id="rId2"/>
    <sheet name="Zielgruppen" sheetId="4" r:id="rId3"/>
    <sheet name="Schießen" sheetId="5" r:id="rId4"/>
    <sheet name="Schützen" sheetId="6" r:id="rId5"/>
  </sheets>
  <functionGroups builtInGroupCount="18"/>
  <calcPr calcId="15251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6" i="5" l="1"/>
  <c r="I7" i="5"/>
  <c r="I8" i="5"/>
  <c r="I9" i="5"/>
  <c r="H6" i="5"/>
  <c r="H7" i="5"/>
  <c r="H8" i="5"/>
  <c r="D10" i="5"/>
  <c r="E10" i="5"/>
  <c r="F10" i="5"/>
  <c r="G10" i="5"/>
  <c r="D9" i="5"/>
  <c r="E9" i="5"/>
  <c r="F9" i="5"/>
  <c r="G9" i="5"/>
  <c r="H9" i="5"/>
  <c r="H10" i="5" s="1"/>
  <c r="G5" i="4" l="1"/>
  <c r="G6" i="4"/>
  <c r="G7" i="4"/>
  <c r="G8" i="4"/>
  <c r="F5" i="4"/>
  <c r="F6" i="4"/>
  <c r="F7" i="4"/>
  <c r="F8" i="4"/>
  <c r="E9" i="4" s="1"/>
  <c r="D9" i="4"/>
  <c r="D8" i="4"/>
  <c r="E8" i="4"/>
  <c r="F9" i="4" l="1"/>
</calcChain>
</file>

<file path=xl/sharedStrings.xml><?xml version="1.0" encoding="utf-8"?>
<sst xmlns="http://schemas.openxmlformats.org/spreadsheetml/2006/main" count="93" uniqueCount="66">
  <si>
    <t>Personalnummer:</t>
  </si>
  <si>
    <t>Name:</t>
  </si>
  <si>
    <t>Vorname:</t>
  </si>
  <si>
    <t>Dienststelle:</t>
  </si>
  <si>
    <t>Gehörschutz:</t>
  </si>
  <si>
    <t>sonstige:</t>
  </si>
  <si>
    <t>Laserschütze:</t>
  </si>
  <si>
    <t>Auflagen</t>
  </si>
  <si>
    <t>Förderlehrgang</t>
  </si>
  <si>
    <t>Bemerkung</t>
  </si>
  <si>
    <t>Art der Verwendung:</t>
  </si>
  <si>
    <t>Referat:</t>
  </si>
  <si>
    <t>Jahr:</t>
  </si>
  <si>
    <t>Dir E</t>
  </si>
  <si>
    <t>Speicherort:</t>
  </si>
  <si>
    <t>Datenbank</t>
  </si>
  <si>
    <t>Datei</t>
  </si>
  <si>
    <t>Einstellungen</t>
  </si>
  <si>
    <t>Dir E St</t>
  </si>
  <si>
    <t>Zielgruppen</t>
  </si>
  <si>
    <t>Referat</t>
  </si>
  <si>
    <t>Gesamt</t>
  </si>
  <si>
    <t>in %</t>
  </si>
  <si>
    <t>Summe</t>
  </si>
  <si>
    <t>ZG 3</t>
  </si>
  <si>
    <t>Verteilung von Zielgruppen in den Referaten</t>
  </si>
  <si>
    <t>ZG 1</t>
  </si>
  <si>
    <t>Dir E 1. BPA</t>
  </si>
  <si>
    <t>Schützenzahlen</t>
  </si>
  <si>
    <t>Verteilung von Mitarbeitern/Schützen in den Referaten</t>
  </si>
  <si>
    <t>Anz. MA</t>
  </si>
  <si>
    <t>Anz. Audiosch.</t>
  </si>
  <si>
    <t>Jahr</t>
  </si>
  <si>
    <t>Dir E 2. BPA</t>
  </si>
  <si>
    <t>referat</t>
  </si>
  <si>
    <t>personalnummer</t>
  </si>
  <si>
    <t>wug.schluessel</t>
  </si>
  <si>
    <t>name</t>
  </si>
  <si>
    <t>vorname</t>
  </si>
  <si>
    <t>nachname.v</t>
  </si>
  <si>
    <t>geb.datum</t>
  </si>
  <si>
    <t>dienststelle</t>
  </si>
  <si>
    <t>ba.tb</t>
  </si>
  <si>
    <t>zielgruppe</t>
  </si>
  <si>
    <t>audioschuetze</t>
  </si>
  <si>
    <t>foerderlehrgang</t>
  </si>
  <si>
    <t>bemerkung</t>
  </si>
  <si>
    <t>-</t>
  </si>
  <si>
    <t>Findeis</t>
  </si>
  <si>
    <t>Miriam</t>
  </si>
  <si>
    <t>Findeis, Mi.</t>
  </si>
  <si>
    <t>Dir E 11. EHu</t>
  </si>
  <si>
    <t>BA</t>
  </si>
  <si>
    <t>nein</t>
  </si>
  <si>
    <t>nicht vorgesehen</t>
  </si>
  <si>
    <t>Huschenhöfer</t>
  </si>
  <si>
    <t>Christoph</t>
  </si>
  <si>
    <t>Huschenhöfer, Ch.</t>
  </si>
  <si>
    <t>Dir E St FüU</t>
  </si>
  <si>
    <t>ja</t>
  </si>
  <si>
    <t>Mundt</t>
  </si>
  <si>
    <t>Martin</t>
  </si>
  <si>
    <t>Mundt, Ma.</t>
  </si>
  <si>
    <t>Dir E 22. EHu</t>
  </si>
  <si>
    <t>Laser</t>
  </si>
  <si>
    <t>scharfer Schuss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</si>
</sst>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F0F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left" inden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indent="1"/>
    </xf>
    <xf numFmtId="0" fontId="0" fillId="0" borderId="0" xfId="0" quotePrefix="1" applyAlignment="1">
      <alignment horizontal="left" indent="1"/>
    </xf>
    <xf numFmtId="0" fontId="3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3" borderId="10" xfId="0" applyFont="1" applyFill="1" applyBorder="1" applyAlignment="1" applyProtection="1">
      <alignment horizontal="right" vertical="center" indent="1"/>
    </xf>
    <xf numFmtId="9" fontId="1" fillId="3" borderId="11" xfId="0" applyNumberFormat="1" applyFont="1" applyFill="1" applyBorder="1" applyAlignment="1" applyProtection="1">
      <alignment horizontal="right" vertical="center" indent="1"/>
    </xf>
    <xf numFmtId="9" fontId="1" fillId="3" borderId="12" xfId="0" applyNumberFormat="1" applyFont="1" applyFill="1" applyBorder="1" applyAlignment="1" applyProtection="1">
      <alignment horizontal="right" vertical="center" indent="1"/>
    </xf>
    <xf numFmtId="0" fontId="1" fillId="3" borderId="13" xfId="0" applyFont="1" applyFill="1" applyBorder="1" applyAlignment="1" applyProtection="1">
      <alignment horizontal="right" vertical="center" indent="1"/>
    </xf>
    <xf numFmtId="0" fontId="1" fillId="3" borderId="14" xfId="0" applyFont="1" applyFill="1" applyBorder="1" applyAlignment="1" applyProtection="1">
      <alignment horizontal="left" vertical="center" indent="1"/>
    </xf>
    <xf numFmtId="0" fontId="1" fillId="3" borderId="15" xfId="0" applyFont="1" applyFill="1" applyBorder="1" applyAlignment="1" applyProtection="1">
      <alignment horizontal="left" vertical="center" indent="1"/>
    </xf>
    <xf numFmtId="0" fontId="0" fillId="0" borderId="20" xfId="0" applyFont="1" applyBorder="1" applyAlignment="1" applyProtection="1">
      <alignment horizontal="right" vertical="center" indent="1"/>
    </xf>
    <xf numFmtId="9" fontId="0" fillId="0" borderId="21" xfId="0" applyNumberFormat="1" applyFont="1" applyBorder="1" applyAlignment="1" applyProtection="1">
      <alignment horizontal="right" vertical="center" indent="1"/>
    </xf>
    <xf numFmtId="0" fontId="0" fillId="0" borderId="22" xfId="0" applyFont="1" applyBorder="1" applyAlignment="1" applyProtection="1">
      <alignment horizontal="right" vertical="center" indent="1"/>
    </xf>
    <xf numFmtId="9" fontId="0" fillId="0" borderId="23" xfId="0" applyNumberFormat="1" applyFont="1" applyBorder="1" applyAlignment="1" applyProtection="1">
      <alignment horizontal="right" vertical="center" indent="1"/>
    </xf>
    <xf numFmtId="0" fontId="0" fillId="0" borderId="18" xfId="0" applyFont="1" applyBorder="1" applyAlignment="1" applyProtection="1">
      <alignment horizontal="left" vertical="center" indent="1"/>
    </xf>
    <xf numFmtId="0" fontId="0" fillId="0" borderId="24" xfId="0" applyFont="1" applyBorder="1" applyAlignment="1" applyProtection="1">
      <alignment horizontal="left" vertical="center" indent="1"/>
    </xf>
    <xf numFmtId="0" fontId="0" fillId="0" borderId="19" xfId="0" applyFont="1" applyBorder="1" applyAlignment="1" applyProtection="1">
      <alignment horizontal="left" vertical="center" indent="1"/>
    </xf>
    <xf numFmtId="0" fontId="0" fillId="0" borderId="25" xfId="0" applyFont="1" applyBorder="1" applyAlignment="1" applyProtection="1">
      <alignment horizontal="left" vertical="center" indent="1"/>
    </xf>
    <xf numFmtId="0" fontId="0" fillId="0" borderId="30" xfId="0" applyFont="1" applyBorder="1" applyAlignment="1" applyProtection="1">
      <alignment horizontal="right" vertical="center" indent="1"/>
    </xf>
    <xf numFmtId="9" fontId="0" fillId="0" borderId="31" xfId="0" applyNumberFormat="1" applyFont="1" applyBorder="1" applyAlignment="1" applyProtection="1">
      <alignment horizontal="right" vertical="center" indent="1"/>
    </xf>
    <xf numFmtId="0" fontId="0" fillId="0" borderId="29" xfId="0" applyFont="1" applyBorder="1" applyAlignment="1" applyProtection="1">
      <alignment horizontal="left" vertical="center" indent="1"/>
    </xf>
    <xf numFmtId="0" fontId="0" fillId="0" borderId="32" xfId="0" applyFont="1" applyBorder="1" applyAlignment="1" applyProtection="1">
      <alignment horizontal="left" vertical="center" indent="1"/>
    </xf>
    <xf numFmtId="0" fontId="1" fillId="2" borderId="3" xfId="0" applyFont="1" applyFill="1" applyBorder="1" applyAlignment="1" applyProtection="1">
      <alignment horizontal="center" vertical="center"/>
    </xf>
    <xf numFmtId="14" fontId="0" fillId="0" borderId="0" xfId="0" applyNumberFormat="1" applyFont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left" vertical="center" indent="1"/>
    </xf>
    <xf numFmtId="0" fontId="1" fillId="3" borderId="9" xfId="0" applyFont="1" applyFill="1" applyBorder="1" applyAlignment="1" applyProtection="1">
      <alignment horizontal="left" vertical="center" indent="1"/>
    </xf>
    <xf numFmtId="0" fontId="1" fillId="2" borderId="27" xfId="0" applyFont="1" applyFill="1" applyBorder="1" applyAlignment="1" applyProtection="1">
      <alignment horizontal="center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6" xfId="0" applyFont="1" applyFill="1" applyBorder="1" applyAlignment="1" applyProtection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</xf>
    <xf numFmtId="0" fontId="1" fillId="2" borderId="28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top"/>
    </xf>
    <xf numFmtId="0" fontId="1" fillId="2" borderId="27" xfId="0" applyFont="1" applyFill="1" applyBorder="1" applyAlignment="1" applyProtection="1">
      <alignment horizontal="center" vertical="top"/>
    </xf>
    <xf numFmtId="0" fontId="1" fillId="2" borderId="2" xfId="0" applyFont="1" applyFill="1" applyBorder="1" applyAlignment="1" applyProtection="1">
      <alignment horizontal="center" vertical="top"/>
    </xf>
    <xf numFmtId="0" fontId="1" fillId="2" borderId="3" xfId="0" applyFont="1" applyFill="1" applyBorder="1" applyAlignment="1" applyProtection="1">
      <alignment horizontal="center" vertical="top"/>
    </xf>
  </cellXfs>
  <cellStyles count="1">
    <cellStyle name="Standard" xfId="0" builtinId="0"/>
  </cellStyles>
  <dxfs count="3">
    <dxf>
      <font>
        <color indexed="23"/>
      </font>
    </dxf>
    <dxf>
      <font>
        <color indexed="23"/>
      </font>
    </dxf>
    <dxf>
      <font>
        <color indexed="23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6"/>
  <sheetViews>
    <sheetView workbookViewId="0">
      <selection activeCell="J14" sqref="J14"/>
    </sheetView>
  </sheetViews>
  <sheetFormatPr baseColWidth="10" defaultRowHeight="15" x14ac:dyDescent="0.25"/>
  <cols>
    <col min="2" max="2" width="21" bestFit="1" customWidth="1"/>
    <col min="3" max="3" width="57.140625" customWidth="1"/>
  </cols>
  <sheetData>
    <row r="1" spans="1:3" ht="25.5" customHeight="1" x14ac:dyDescent="0.25">
      <c r="A1" s="36" t="s">
        <v>17</v>
      </c>
      <c r="B1" s="36"/>
      <c r="C1" s="36"/>
    </row>
    <row r="2" spans="1:3" x14ac:dyDescent="0.25">
      <c r="A2" s="3" t="s">
        <v>16</v>
      </c>
      <c r="B2" s="7" t="s">
        <v>10</v>
      </c>
      <c r="C2" s="5">
        <v>2</v>
      </c>
    </row>
    <row r="3" spans="1:3" x14ac:dyDescent="0.25">
      <c r="A3" s="35" t="s">
        <v>15</v>
      </c>
      <c r="B3" s="7" t="s">
        <v>11</v>
      </c>
      <c r="C3" s="5" t="s">
        <v>13</v>
      </c>
    </row>
    <row r="4" spans="1:3" x14ac:dyDescent="0.25">
      <c r="A4" s="35"/>
      <c r="B4" s="7" t="s">
        <v>12</v>
      </c>
      <c r="C4" s="5">
        <v>2019</v>
      </c>
    </row>
    <row r="5" spans="1:3" x14ac:dyDescent="0.25">
      <c r="A5" s="35"/>
      <c r="B5" s="7" t="s">
        <v>14</v>
      </c>
      <c r="C5" s="8"/>
    </row>
    <row r="6" spans="1:3" x14ac:dyDescent="0.25">
      <c r="A6" s="6"/>
      <c r="B6" s="4"/>
      <c r="C6" s="5"/>
    </row>
  </sheetData>
  <mergeCells count="2">
    <mergeCell ref="A3:A5"/>
    <mergeCell ref="A1:C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6:H9"/>
  <sheetViews>
    <sheetView workbookViewId="0">
      <selection activeCell="E19" sqref="E19"/>
    </sheetView>
  </sheetViews>
  <sheetFormatPr baseColWidth="10" defaultRowHeight="15" x14ac:dyDescent="0.25"/>
  <cols>
    <col min="1" max="1" width="0.85546875" customWidth="1"/>
    <col min="2" max="2" width="18.42578125" customWidth="1"/>
    <col min="3" max="3" width="16.7109375" customWidth="1"/>
    <col min="4" max="4" width="0.85546875" customWidth="1"/>
    <col min="5" max="6" width="14.42578125" customWidth="1"/>
    <col min="7" max="7" width="16.7109375" customWidth="1"/>
  </cols>
  <sheetData>
    <row r="6" spans="2:8" x14ac:dyDescent="0.25">
      <c r="B6" t="s">
        <v>0</v>
      </c>
      <c r="C6" s="2">
        <v>24225132</v>
      </c>
      <c r="E6" s="37" t="s">
        <v>7</v>
      </c>
      <c r="F6" s="37"/>
      <c r="G6" t="s">
        <v>8</v>
      </c>
      <c r="H6" t="s">
        <v>9</v>
      </c>
    </row>
    <row r="7" spans="2:8" x14ac:dyDescent="0.25">
      <c r="B7" t="s">
        <v>1</v>
      </c>
      <c r="C7" s="2"/>
      <c r="E7" t="s">
        <v>4</v>
      </c>
      <c r="F7" s="1"/>
      <c r="G7" s="38"/>
      <c r="H7" s="38"/>
    </row>
    <row r="8" spans="2:8" x14ac:dyDescent="0.25">
      <c r="B8" t="s">
        <v>2</v>
      </c>
      <c r="C8" s="2"/>
      <c r="E8" t="s">
        <v>6</v>
      </c>
      <c r="F8" s="1"/>
      <c r="G8" s="38"/>
      <c r="H8" s="38"/>
    </row>
    <row r="9" spans="2:8" x14ac:dyDescent="0.25">
      <c r="B9" t="s">
        <v>3</v>
      </c>
      <c r="C9" s="2"/>
      <c r="E9" t="s">
        <v>5</v>
      </c>
      <c r="F9" s="1"/>
      <c r="G9" s="38"/>
      <c r="H9" s="38"/>
    </row>
  </sheetData>
  <mergeCells count="3">
    <mergeCell ref="E6:F6"/>
    <mergeCell ref="G7:G9"/>
    <mergeCell ref="H7:H9"/>
  </mergeCells>
  <dataValidations count="1">
    <dataValidation type="list" operator="equal" allowBlank="1" showInputMessage="1" showErrorMessage="1" sqref="C6">
      <formula1>"24225132, "</formula1>
    </dataValidation>
  </dataValidation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AA10"/>
  <sheetViews>
    <sheetView showGridLines="0" zoomScaleNormal="100" workbookViewId="0"/>
  </sheetViews>
  <sheetFormatPr baseColWidth="10" defaultColWidth="0" defaultRowHeight="18" customHeight="1" zeroHeight="1" x14ac:dyDescent="0.25"/>
  <cols>
    <col min="1" max="1" width="0.85546875" style="11" customWidth="1"/>
    <col min="2" max="2" width="16.7109375" style="11" customWidth="1"/>
    <col min="3" max="3" width="9.7109375" style="11" customWidth="1"/>
    <col min="4" max="6" width="10.7109375" style="11" customWidth="1"/>
    <col min="7" max="7" width="7.7109375" style="11" customWidth="1"/>
    <col min="8" max="8" width="0.85546875" style="11" customWidth="1"/>
    <col min="9" max="26" width="10.7109375" style="11" hidden="1" customWidth="1"/>
    <col min="27" max="27" width="0" style="11" hidden="1" customWidth="1"/>
    <col min="28" max="16384" width="10.7109375" style="11" hidden="1"/>
  </cols>
  <sheetData>
    <row r="1" spans="2:7" ht="32.1" customHeight="1" x14ac:dyDescent="0.25">
      <c r="B1" s="9" t="s">
        <v>19</v>
      </c>
    </row>
    <row r="2" spans="2:7" ht="18" customHeight="1" thickBot="1" x14ac:dyDescent="0.3">
      <c r="B2" s="10" t="s">
        <v>25</v>
      </c>
    </row>
    <row r="3" spans="2:7" ht="18" customHeight="1" x14ac:dyDescent="0.25">
      <c r="B3" s="39" t="s">
        <v>20</v>
      </c>
      <c r="C3" s="40"/>
      <c r="D3" s="43" t="s">
        <v>19</v>
      </c>
      <c r="E3" s="45"/>
      <c r="F3" s="43" t="s">
        <v>21</v>
      </c>
      <c r="G3" s="44"/>
    </row>
    <row r="4" spans="2:7" ht="18" customHeight="1" thickBot="1" x14ac:dyDescent="0.3">
      <c r="B4" s="41"/>
      <c r="C4" s="42"/>
      <c r="D4" s="31" t="s">
        <v>26</v>
      </c>
      <c r="E4" s="31" t="s">
        <v>24</v>
      </c>
      <c r="F4" s="31" t="s">
        <v>23</v>
      </c>
      <c r="G4" s="12" t="s">
        <v>22</v>
      </c>
    </row>
    <row r="5" spans="2:7" ht="18" customHeight="1" x14ac:dyDescent="0.25">
      <c r="B5" s="23" t="s">
        <v>27</v>
      </c>
      <c r="C5" s="24"/>
      <c r="D5" s="19">
        <v>1</v>
      </c>
      <c r="E5" s="19">
        <v>0</v>
      </c>
      <c r="F5" s="19">
        <f t="shared" ref="F5:F8" si="0">SUM(D5:E5)</f>
        <v>1</v>
      </c>
      <c r="G5" s="20">
        <f t="shared" ref="G5:G8" si="1">IF($F$8&lt;&gt;0,F5/$F$8,0)</f>
        <v>0.33333333333333331</v>
      </c>
    </row>
    <row r="6" spans="2:7" ht="18" customHeight="1" x14ac:dyDescent="0.25">
      <c r="B6" s="29" t="s">
        <v>33</v>
      </c>
      <c r="C6" s="30"/>
      <c r="D6" s="27">
        <v>1</v>
      </c>
      <c r="E6" s="27">
        <v>0</v>
      </c>
      <c r="F6" s="27">
        <f t="shared" si="0"/>
        <v>1</v>
      </c>
      <c r="G6" s="28">
        <f t="shared" si="1"/>
        <v>0.33333333333333331</v>
      </c>
    </row>
    <row r="7" spans="2:7" ht="18" customHeight="1" thickBot="1" x14ac:dyDescent="0.3">
      <c r="B7" s="25" t="s">
        <v>18</v>
      </c>
      <c r="C7" s="26"/>
      <c r="D7" s="21">
        <v>0</v>
      </c>
      <c r="E7" s="21">
        <v>1</v>
      </c>
      <c r="F7" s="21">
        <f t="shared" si="0"/>
        <v>1</v>
      </c>
      <c r="G7" s="22">
        <f t="shared" si="1"/>
        <v>0.33333333333333331</v>
      </c>
    </row>
    <row r="8" spans="2:7" ht="18" customHeight="1" thickTop="1" x14ac:dyDescent="0.25">
      <c r="B8" s="46" t="s">
        <v>21</v>
      </c>
      <c r="C8" s="17" t="s">
        <v>23</v>
      </c>
      <c r="D8" s="13">
        <f t="shared" ref="D8:E8" si="2">SUM(+D$5+D$6+D$7)</f>
        <v>2</v>
      </c>
      <c r="E8" s="13">
        <f t="shared" si="2"/>
        <v>1</v>
      </c>
      <c r="F8" s="13">
        <f t="shared" si="0"/>
        <v>3</v>
      </c>
      <c r="G8" s="14">
        <f t="shared" si="1"/>
        <v>1</v>
      </c>
    </row>
    <row r="9" spans="2:7" ht="18" customHeight="1" thickBot="1" x14ac:dyDescent="0.3">
      <c r="B9" s="47"/>
      <c r="C9" s="18" t="s">
        <v>22</v>
      </c>
      <c r="D9" s="15">
        <f t="shared" ref="D9:F9" si="3">IF($F$8&lt;&gt;0,D8/$F$8,0)</f>
        <v>0.66666666666666663</v>
      </c>
      <c r="E9" s="15">
        <f t="shared" si="3"/>
        <v>0.33333333333333331</v>
      </c>
      <c r="F9" s="15">
        <f t="shared" si="3"/>
        <v>1</v>
      </c>
      <c r="G9" s="16"/>
    </row>
    <row r="10" spans="2:7" ht="5.0999999999999996" customHeight="1" x14ac:dyDescent="0.25"/>
  </sheetData>
  <sheetProtection algorithmName="SHA-512" hashValue="DcCgRHjErUYyUuIXn+v2bW9kk+M7ucJRdc2Qjyq+YJHC9Ff9wHCBWdfpdcFQE20+814wP50jijSSpFAKeVIfyQ==" saltValue="damU3GbVBYqrlcBHaKWf+A==" spinCount="100000" sheet="1" objects="1" scenarios="1" selectLockedCells="1"/>
  <mergeCells count="4">
    <mergeCell ref="B3:C4"/>
    <mergeCell ref="F3:G3"/>
    <mergeCell ref="D3:E3"/>
    <mergeCell ref="B8:B9"/>
  </mergeCells>
  <conditionalFormatting sqref="D5:G9">
    <cfRule type="cellIs" dxfId="2" priority="1" operator="equal">
      <formula>0</formula>
    </cfRule>
  </conditionalFormatting>
  <pageMargins left="0.70866141732283505" right="0.70866141732283505" top="0.74803149606299202" bottom="0.78740157499999996" header="0.3" footer="0.3"/>
  <pageSetup paperSize="9" pageOrder="overThenDown" orientation="landscape" r:id="rId1"/>
  <headerFooter scaleWithDoc="0">
    <oddHeader>&amp;LDir E ET
Bearbeiter: XXXX&amp;R&amp;D
70XXXX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FO20"/>
  <sheetViews>
    <sheetView showGridLines="0" tabSelected="1" zoomScaleNormal="100" workbookViewId="0"/>
  </sheetViews>
  <sheetFormatPr baseColWidth="10" defaultColWidth="0" defaultRowHeight="18" customHeight="1" zeroHeight="1" x14ac:dyDescent="0.25"/>
  <cols>
    <col min="1" max="1" width="0.85546875" style="11" customWidth="1"/>
    <col min="2" max="2" width="16.7109375" style="11" customWidth="1"/>
    <col min="3" max="3" width="9.7109375" style="11" customWidth="1"/>
    <col min="4" max="8" width="10.7109375" style="11" customWidth="1"/>
    <col min="9" max="9" width="7.7109375" style="11" customWidth="1"/>
    <col min="10" max="10" width="0.85546875" style="11" customWidth="1"/>
    <col min="11" max="168" width="10.7109375" style="11" hidden="1"/>
    <col min="169" max="171" width="0" style="11" hidden="1"/>
    <col min="172" max="16384" width="10.7109375" style="11" hidden="1"/>
  </cols>
  <sheetData>
    <row r="1" spans="2:9" ht="32.1" customHeight="1" x14ac:dyDescent="0.25">
      <c r="B1" s="9" t="s">
        <v>28</v>
      </c>
    </row>
    <row r="2" spans="2:9" ht="18" customHeight="1" thickBot="1" x14ac:dyDescent="0.3">
      <c r="B2" s="10" t="s">
        <v>29</v>
      </c>
    </row>
    <row r="3" spans="2:9" ht="18" customHeight="1" x14ac:dyDescent="0.25">
      <c r="B3" s="39"/>
      <c r="C3" s="40"/>
      <c r="D3" s="33"/>
      <c r="E3" s="33"/>
      <c r="F3" s="40" t="s">
        <v>32</v>
      </c>
      <c r="G3" s="40"/>
      <c r="H3" s="40"/>
      <c r="I3" s="50"/>
    </row>
    <row r="4" spans="2:9" ht="18" customHeight="1" x14ac:dyDescent="0.25">
      <c r="B4" s="53" t="s">
        <v>20</v>
      </c>
      <c r="C4" s="54"/>
      <c r="D4" s="48" t="s">
        <v>30</v>
      </c>
      <c r="E4" s="48" t="s">
        <v>31</v>
      </c>
      <c r="F4" s="48" t="s">
        <v>64</v>
      </c>
      <c r="G4" s="48" t="s">
        <v>65</v>
      </c>
      <c r="H4" s="51" t="s">
        <v>21</v>
      </c>
      <c r="I4" s="52"/>
    </row>
    <row r="5" spans="2:9" ht="18" customHeight="1" thickBot="1" x14ac:dyDescent="0.3">
      <c r="B5" s="55"/>
      <c r="C5" s="56"/>
      <c r="D5" s="49"/>
      <c r="E5" s="49"/>
      <c r="F5" s="49"/>
      <c r="G5" s="49"/>
      <c r="H5" s="34" t="s">
        <v>23</v>
      </c>
      <c r="I5" s="12" t="s">
        <v>22</v>
      </c>
    </row>
    <row r="6" spans="2:9" ht="18" customHeight="1" x14ac:dyDescent="0.25">
      <c r="B6" s="23" t="s">
        <v>27</v>
      </c>
      <c r="C6" s="24"/>
      <c r="D6" s="19">
        <v>1</v>
      </c>
      <c r="E6" s="19">
        <v>0</v>
      </c>
      <c r="F6" s="19">
        <v>0</v>
      </c>
      <c r="G6" s="19">
        <v>0</v>
      </c>
      <c r="H6" s="19">
        <f t="shared" ref="H6:H8" si="0">SUM(F6:G6)</f>
        <v>0</v>
      </c>
      <c r="I6" s="20">
        <f t="shared" ref="I6:I9" si="1">IF($D$9&lt;&gt;0,H6/$D$9,0)</f>
        <v>0</v>
      </c>
    </row>
    <row r="7" spans="2:9" ht="18" customHeight="1" x14ac:dyDescent="0.25">
      <c r="B7" s="29" t="s">
        <v>33</v>
      </c>
      <c r="C7" s="30"/>
      <c r="D7" s="27">
        <v>1</v>
      </c>
      <c r="E7" s="27">
        <v>0</v>
      </c>
      <c r="F7" s="27">
        <v>0</v>
      </c>
      <c r="G7" s="27">
        <v>1</v>
      </c>
      <c r="H7" s="27">
        <f t="shared" si="0"/>
        <v>1</v>
      </c>
      <c r="I7" s="28">
        <f t="shared" si="1"/>
        <v>0.33333333333333331</v>
      </c>
    </row>
    <row r="8" spans="2:9" ht="18" customHeight="1" thickBot="1" x14ac:dyDescent="0.3">
      <c r="B8" s="25" t="s">
        <v>18</v>
      </c>
      <c r="C8" s="26"/>
      <c r="D8" s="21">
        <v>1</v>
      </c>
      <c r="E8" s="21">
        <v>1</v>
      </c>
      <c r="F8" s="21">
        <v>1</v>
      </c>
      <c r="G8" s="21">
        <v>1</v>
      </c>
      <c r="H8" s="21">
        <f t="shared" si="0"/>
        <v>2</v>
      </c>
      <c r="I8" s="22">
        <f t="shared" si="1"/>
        <v>0.66666666666666663</v>
      </c>
    </row>
    <row r="9" spans="2:9" ht="18" customHeight="1" thickTop="1" x14ac:dyDescent="0.25">
      <c r="B9" s="46" t="s">
        <v>21</v>
      </c>
      <c r="C9" s="17" t="s">
        <v>23</v>
      </c>
      <c r="D9" s="13">
        <f>SUM(D$6:D8)</f>
        <v>3</v>
      </c>
      <c r="E9" s="13">
        <f>SUM(E$6:E8)</f>
        <v>1</v>
      </c>
      <c r="F9" s="13">
        <f>SUM(F$6:F8)</f>
        <v>1</v>
      </c>
      <c r="G9" s="13">
        <f>SUM(G$6:G8)</f>
        <v>2</v>
      </c>
      <c r="H9" s="13">
        <f>SUM(H$6:H8)</f>
        <v>3</v>
      </c>
      <c r="I9" s="14">
        <f t="shared" si="1"/>
        <v>1</v>
      </c>
    </row>
    <row r="10" spans="2:9" ht="18" customHeight="1" thickBot="1" x14ac:dyDescent="0.3">
      <c r="B10" s="47"/>
      <c r="C10" s="18" t="s">
        <v>22</v>
      </c>
      <c r="D10" s="15">
        <f t="shared" ref="D10:H10" si="2">IF($D9&lt;&gt;0,D$9/$D9,0)</f>
        <v>1</v>
      </c>
      <c r="E10" s="15">
        <f t="shared" si="2"/>
        <v>0.33333333333333331</v>
      </c>
      <c r="F10" s="15">
        <f t="shared" si="2"/>
        <v>0.33333333333333331</v>
      </c>
      <c r="G10" s="15">
        <f t="shared" si="2"/>
        <v>0.66666666666666663</v>
      </c>
      <c r="H10" s="15">
        <f t="shared" si="2"/>
        <v>1</v>
      </c>
      <c r="I10" s="16"/>
    </row>
    <row r="11" spans="2:9" ht="5.0999999999999996" customHeight="1" x14ac:dyDescent="0.25"/>
    <row r="12" spans="2:9" ht="18" hidden="1" customHeight="1" x14ac:dyDescent="0.25"/>
    <row r="13" spans="2:9" ht="18" hidden="1" customHeight="1" x14ac:dyDescent="0.25"/>
    <row r="14" spans="2:9" ht="18" hidden="1" customHeight="1" x14ac:dyDescent="0.25"/>
    <row r="15" spans="2:9" ht="18" hidden="1" customHeight="1" x14ac:dyDescent="0.25"/>
    <row r="16" spans="2:9" ht="18" hidden="1" customHeight="1" x14ac:dyDescent="0.25"/>
    <row r="17" ht="18" hidden="1" customHeight="1" x14ac:dyDescent="0.25"/>
    <row r="18" ht="18" hidden="1" customHeight="1" x14ac:dyDescent="0.25"/>
    <row r="19" ht="18" hidden="1" customHeight="1" x14ac:dyDescent="0.25"/>
    <row r="20" ht="18" hidden="1" customHeight="1" x14ac:dyDescent="0.25"/>
  </sheetData>
  <sheetProtection algorithmName="SHA-512" hashValue="8GOYaIYZA8icwCDrwmqoyMRFJ4WH+wI8WCWf8nTWqIztTIMZLdIrWvTkmhuctLznAcrxiXJi6L3XzfRnmB4OwQ==" saltValue="UAOT9rz4Lzf48uczJ2vyEQ==" spinCount="100000" sheet="1" objects="1" scenarios="1" selectLockedCells="1"/>
  <mergeCells count="9">
    <mergeCell ref="F4:F5"/>
    <mergeCell ref="G4:G5"/>
    <mergeCell ref="F3:I3"/>
    <mergeCell ref="H4:I4"/>
    <mergeCell ref="B9:B10"/>
    <mergeCell ref="B3:C3"/>
    <mergeCell ref="B4:C5"/>
    <mergeCell ref="D4:D5"/>
    <mergeCell ref="E4:E5"/>
  </mergeCells>
  <conditionalFormatting sqref="D6:I10">
    <cfRule type="cellIs" dxfId="0" priority="1" operator="equal">
      <formula>0</formula>
    </cfRule>
  </conditionalFormatting>
  <pageMargins left="0.70866141732283505" right="0.70866141732283505" top="0.74803149606299202" bottom="0.78740157499999996" header="0.3" footer="0.3"/>
  <pageSetup paperSize="9" pageOrder="overThenDown" orientation="landscape" r:id="rId1"/>
  <headerFooter scaleWithDoc="0">
    <oddHeader>&amp;LDir E ET
Bearbeiter: XXXX&amp;R&amp;D
70XXXX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4:N7"/>
  <sheetViews>
    <sheetView workbookViewId="0">
      <selection activeCell="Q17" sqref="Q17"/>
    </sheetView>
  </sheetViews>
  <sheetFormatPr baseColWidth="10" defaultColWidth="10.7109375" defaultRowHeight="18" customHeight="1" x14ac:dyDescent="0.25"/>
  <cols>
    <col min="1" max="16384" width="10.7109375" style="11"/>
  </cols>
  <sheetData>
    <row r="4" spans="2:14" ht="18" customHeight="1" x14ac:dyDescent="0.25">
      <c r="B4" s="11" t="s">
        <v>35</v>
      </c>
      <c r="C4" s="11" t="s">
        <v>36</v>
      </c>
      <c r="D4" s="11" t="s">
        <v>37</v>
      </c>
      <c r="E4" s="11" t="s">
        <v>38</v>
      </c>
      <c r="F4" s="11" t="s">
        <v>39</v>
      </c>
      <c r="G4" s="11" t="s">
        <v>40</v>
      </c>
      <c r="H4" s="11" t="s">
        <v>34</v>
      </c>
      <c r="I4" s="11" t="s">
        <v>41</v>
      </c>
      <c r="J4" s="11" t="s">
        <v>42</v>
      </c>
      <c r="K4" s="11" t="s">
        <v>43</v>
      </c>
      <c r="L4" s="11" t="s">
        <v>44</v>
      </c>
      <c r="M4" s="11" t="s">
        <v>45</v>
      </c>
      <c r="N4" s="11" t="s">
        <v>46</v>
      </c>
    </row>
    <row r="5" spans="2:14" ht="18" customHeight="1" x14ac:dyDescent="0.25">
      <c r="B5" s="11">
        <v>24225131</v>
      </c>
      <c r="C5" s="11" t="s">
        <v>47</v>
      </c>
      <c r="D5" s="11" t="s">
        <v>48</v>
      </c>
      <c r="E5" s="11" t="s">
        <v>49</v>
      </c>
      <c r="F5" s="11" t="s">
        <v>50</v>
      </c>
      <c r="G5" s="32">
        <v>30682</v>
      </c>
      <c r="H5" s="11" t="s">
        <v>27</v>
      </c>
      <c r="I5" s="11" t="s">
        <v>51</v>
      </c>
      <c r="J5" s="11" t="s">
        <v>52</v>
      </c>
      <c r="K5" s="11" t="s">
        <v>26</v>
      </c>
      <c r="L5" s="11" t="s">
        <v>53</v>
      </c>
      <c r="M5" s="11" t="s">
        <v>54</v>
      </c>
      <c r="N5" s="11">
        <v>0</v>
      </c>
    </row>
    <row r="6" spans="2:14" ht="18" customHeight="1" x14ac:dyDescent="0.25">
      <c r="B6" s="11">
        <v>24225132</v>
      </c>
      <c r="C6" s="11" t="s">
        <v>47</v>
      </c>
      <c r="D6" s="11" t="s">
        <v>55</v>
      </c>
      <c r="E6" s="11" t="s">
        <v>56</v>
      </c>
      <c r="F6" s="11" t="s">
        <v>57</v>
      </c>
      <c r="G6" s="32">
        <v>31449</v>
      </c>
      <c r="H6" s="11" t="s">
        <v>18</v>
      </c>
      <c r="I6" s="11" t="s">
        <v>58</v>
      </c>
      <c r="J6" s="11" t="s">
        <v>52</v>
      </c>
      <c r="K6" s="11" t="s">
        <v>24</v>
      </c>
      <c r="L6" s="11" t="s">
        <v>59</v>
      </c>
      <c r="M6" s="11" t="s">
        <v>54</v>
      </c>
      <c r="N6" s="11">
        <v>0</v>
      </c>
    </row>
    <row r="7" spans="2:14" ht="18" customHeight="1" x14ac:dyDescent="0.25">
      <c r="B7" s="11">
        <v>24225133</v>
      </c>
      <c r="C7" s="11" t="s">
        <v>47</v>
      </c>
      <c r="D7" s="11" t="s">
        <v>60</v>
      </c>
      <c r="E7" s="11" t="s">
        <v>61</v>
      </c>
      <c r="F7" s="11" t="s">
        <v>62</v>
      </c>
      <c r="G7" s="32">
        <v>32370</v>
      </c>
      <c r="H7" s="11" t="s">
        <v>33</v>
      </c>
      <c r="I7" s="11" t="s">
        <v>63</v>
      </c>
      <c r="J7" s="11" t="s">
        <v>52</v>
      </c>
      <c r="K7" s="11" t="s">
        <v>26</v>
      </c>
      <c r="L7" s="11" t="s">
        <v>53</v>
      </c>
      <c r="M7" s="11" t="s">
        <v>54</v>
      </c>
      <c r="N7" s="11">
        <v>0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="TabSCH" label="ET Schiessen" insertBeforeMso="TabHome">
        <group id="Quartal" label="Schießen">
          <button id="HB1" onAction="M_home" label="Startseite" imageMso="OpenStartPage" size="large"/>
          <button id="HB2" onAction="M_personal" label="Personal" imageMso="CheckNames" size="large"/>
          <button id="HB3" onAction="M_config" label="Einstellungen" imageMso="AddInCommandsMenu" size="large"/>
        </group>
        <group id="Statistik" label="Statistik">
          <button id="ZGMB10" onAction="M_ZG1" label="Zielgruppen" imageMso="PivotTableLayoutReportLayout"/>
          <button id="ZGMB11" onAction="M_ZG2" label="Schießstatistik" imageMso="PivotTableLayoutReportLayout"/>
          <button id="ZGMB12" onAction="M_ZG3" label="Schützen" imageMso="PivotTableLayoutReportLayout"/>
        </group>
      </tab>
    </tabs>
  </ribbon>
</customUI>
</file>

<file path=customUI/customUI14.xml><?xml version="1.0" encoding="utf-8"?>
<customUI xmlns="http://schemas.microsoft.com/office/2006/01/customui">
  <ribbon>
    <tabs>
      <tab id="TabSCH" label="ET Schiessen" insertBeforeMso="TabHome">
        <group id="Quartal" label="Schießen">
          <button id="HB1" onAction="M_home" label="Startseite" imageMso="OpenStartPage" size="large"/>
          <button id="HB2" onAction="M_personal" label="Personal" imageMso="CheckNames" size="large"/>
          <button id="HB3" onAction="M_config" label="Einstellungen" imageMso="AddInCommandsMenu" size="large"/>
        </group>
        <group id="Statistik" label="Statistik">
          <button id="ZGMB10" onAction="M_ZG1" label="Zielgruppen" imageMso="PivotTableLayoutReportLayout"/>
          <button id="ZGMB11" onAction="M_ZG2" label="Schießstatistik" imageMso="PivotTableLayoutReportLayout"/>
          <button id="ZGMB12" onAction="M_ZG3" label="Schützen" imageMso="PivotTableLayoutReportLay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Info</vt:lpstr>
      <vt:lpstr>Tabelle1</vt:lpstr>
      <vt:lpstr>Zielgruppen</vt:lpstr>
      <vt:lpstr>Schießen</vt:lpstr>
      <vt:lpstr>Schützen</vt:lpstr>
    </vt:vector>
  </TitlesOfParts>
  <Company>PolPräs Berlin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Huschenhöfer, Christoph</dc:creator>
  <cp:lastModifiedBy>Huschenhöfer, Christoph</cp:lastModifiedBy>
  <cp:lastPrinted>2019-01-14T12:46:05Z</cp:lastPrinted>
  <dcterms:created xsi:type="dcterms:W3CDTF">2018-04-04T11:30:51Z</dcterms:created>
  <dcterms:modified xsi:type="dcterms:W3CDTF">2019-01-28T10:26:48Z</dcterms:modified>
</cp:coreProperties>
</file>