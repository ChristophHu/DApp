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71d490e8ef34e3f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d1693f4cace421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ris\OneDrive\Dienst\"/>
    </mc:Choice>
  </mc:AlternateContent>
  <xr:revisionPtr revIDLastSave="2" documentId="11_481CF0B04E15C7EB218DBD993418ADDBFF59FBCB" xr6:coauthVersionLast="41" xr6:coauthVersionMax="41" xr10:uidLastSave="{1A0D71D8-1EF0-4E01-8B55-D573FBA62888}"/>
  <bookViews>
    <workbookView xWindow="6000" yWindow="3120" windowWidth="21600" windowHeight="11385" activeTab="5" xr2:uid="{00000000-000D-0000-FFFF-FFFF00000000}"/>
  </bookViews>
  <sheets>
    <sheet name="Info" sheetId="1" r:id="rId1"/>
    <sheet name="Schießnachweis" sheetId="2" r:id="rId2"/>
    <sheet name="Zielgruppen" sheetId="4" r:id="rId3"/>
    <sheet name="Schießen" sheetId="5" r:id="rId4"/>
    <sheet name="keine Schützen" sheetId="7" r:id="rId5"/>
    <sheet name="Urliste_schiessen" sheetId="8" r:id="rId6"/>
  </sheets>
  <functionGroups builtInGroupCount="19"/>
  <definedNames>
    <definedName name="_xlnm._FilterDatabase" localSheetId="4" hidden="1">'keine Schützen'!$C$3:$H$2353</definedName>
    <definedName name="_xlnm._FilterDatabase" localSheetId="5" hidden="1">Urliste_schiessen!$C$3:$H$5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5" l="1"/>
  <c r="H7" i="5"/>
  <c r="H8" i="5"/>
  <c r="H9" i="5"/>
  <c r="H10" i="5"/>
  <c r="H11" i="5"/>
  <c r="H12" i="5"/>
  <c r="H13" i="5"/>
  <c r="H14" i="5"/>
  <c r="D15" i="5"/>
  <c r="I6" i="5" s="1"/>
  <c r="E15" i="5"/>
  <c r="F15" i="5"/>
  <c r="G15" i="5"/>
  <c r="H15" i="5"/>
  <c r="H16" i="5" s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B1565" i="7"/>
  <c r="B1566" i="7"/>
  <c r="B1567" i="7"/>
  <c r="B1568" i="7"/>
  <c r="B1569" i="7"/>
  <c r="B1570" i="7"/>
  <c r="B1571" i="7"/>
  <c r="B1572" i="7"/>
  <c r="B1573" i="7"/>
  <c r="B1574" i="7"/>
  <c r="B1575" i="7"/>
  <c r="B1576" i="7"/>
  <c r="B1577" i="7"/>
  <c r="B1578" i="7"/>
  <c r="B1579" i="7"/>
  <c r="B1580" i="7"/>
  <c r="B1581" i="7"/>
  <c r="B1582" i="7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B1602" i="7"/>
  <c r="B1603" i="7"/>
  <c r="B1604" i="7"/>
  <c r="B1605" i="7"/>
  <c r="B1606" i="7"/>
  <c r="B1607" i="7"/>
  <c r="B1608" i="7"/>
  <c r="B1609" i="7"/>
  <c r="B1610" i="7"/>
  <c r="B1611" i="7"/>
  <c r="B1612" i="7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B1630" i="7"/>
  <c r="B1631" i="7"/>
  <c r="B1632" i="7"/>
  <c r="B1633" i="7"/>
  <c r="B1634" i="7"/>
  <c r="B1635" i="7"/>
  <c r="B1636" i="7"/>
  <c r="B1637" i="7"/>
  <c r="B1638" i="7"/>
  <c r="B1639" i="7"/>
  <c r="B1640" i="7"/>
  <c r="B1641" i="7"/>
  <c r="B1642" i="7"/>
  <c r="B1643" i="7"/>
  <c r="B1644" i="7"/>
  <c r="B1645" i="7"/>
  <c r="B1646" i="7"/>
  <c r="B1647" i="7"/>
  <c r="B1648" i="7"/>
  <c r="B1649" i="7"/>
  <c r="B1650" i="7"/>
  <c r="B1651" i="7"/>
  <c r="B1652" i="7"/>
  <c r="B1653" i="7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B1685" i="7"/>
  <c r="B1686" i="7"/>
  <c r="B1687" i="7"/>
  <c r="B1688" i="7"/>
  <c r="B1689" i="7"/>
  <c r="B1690" i="7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B1703" i="7"/>
  <c r="B1704" i="7"/>
  <c r="B1705" i="7"/>
  <c r="B1706" i="7"/>
  <c r="B1707" i="7"/>
  <c r="B1708" i="7"/>
  <c r="B1709" i="7"/>
  <c r="B1710" i="7"/>
  <c r="B1711" i="7"/>
  <c r="B1712" i="7"/>
  <c r="B1713" i="7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B1769" i="7"/>
  <c r="B1770" i="7"/>
  <c r="B1771" i="7"/>
  <c r="B1772" i="7"/>
  <c r="B1773" i="7"/>
  <c r="B1774" i="7"/>
  <c r="B1775" i="7"/>
  <c r="B1776" i="7"/>
  <c r="B1777" i="7"/>
  <c r="B1778" i="7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B1850" i="7"/>
  <c r="B1851" i="7"/>
  <c r="B1852" i="7"/>
  <c r="B1853" i="7"/>
  <c r="B1854" i="7"/>
  <c r="B1855" i="7"/>
  <c r="B1856" i="7"/>
  <c r="B1857" i="7"/>
  <c r="B1858" i="7"/>
  <c r="B1859" i="7"/>
  <c r="B1860" i="7"/>
  <c r="B1861" i="7"/>
  <c r="B1862" i="7"/>
  <c r="B1863" i="7"/>
  <c r="B1864" i="7"/>
  <c r="B1865" i="7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B1882" i="7"/>
  <c r="B1883" i="7"/>
  <c r="B1884" i="7"/>
  <c r="B1885" i="7"/>
  <c r="B1886" i="7"/>
  <c r="B1887" i="7"/>
  <c r="B1888" i="7"/>
  <c r="B1889" i="7"/>
  <c r="B1890" i="7"/>
  <c r="B1891" i="7"/>
  <c r="B1892" i="7"/>
  <c r="B1893" i="7"/>
  <c r="B1894" i="7"/>
  <c r="B1895" i="7"/>
  <c r="B1896" i="7"/>
  <c r="B1897" i="7"/>
  <c r="B1898" i="7"/>
  <c r="B1899" i="7"/>
  <c r="B1900" i="7"/>
  <c r="B1901" i="7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B1917" i="7"/>
  <c r="B1918" i="7"/>
  <c r="B1919" i="7"/>
  <c r="B1920" i="7"/>
  <c r="B1921" i="7"/>
  <c r="B1922" i="7"/>
  <c r="B1923" i="7"/>
  <c r="B1924" i="7"/>
  <c r="B1925" i="7"/>
  <c r="B1926" i="7"/>
  <c r="B1927" i="7"/>
  <c r="B1928" i="7"/>
  <c r="B1929" i="7"/>
  <c r="B1930" i="7"/>
  <c r="B1931" i="7"/>
  <c r="B1932" i="7"/>
  <c r="B1933" i="7"/>
  <c r="B1934" i="7"/>
  <c r="B1935" i="7"/>
  <c r="B1936" i="7"/>
  <c r="B1937" i="7"/>
  <c r="B1938" i="7"/>
  <c r="B1939" i="7"/>
  <c r="B1940" i="7"/>
  <c r="B1941" i="7"/>
  <c r="B1942" i="7"/>
  <c r="B1943" i="7"/>
  <c r="B1944" i="7"/>
  <c r="B1945" i="7"/>
  <c r="B1946" i="7"/>
  <c r="B1947" i="7"/>
  <c r="B1948" i="7"/>
  <c r="B1949" i="7"/>
  <c r="B1950" i="7"/>
  <c r="B1951" i="7"/>
  <c r="B1952" i="7"/>
  <c r="B1953" i="7"/>
  <c r="B1954" i="7"/>
  <c r="B1955" i="7"/>
  <c r="B1956" i="7"/>
  <c r="B1957" i="7"/>
  <c r="B1958" i="7"/>
  <c r="B1959" i="7"/>
  <c r="B1960" i="7"/>
  <c r="B1961" i="7"/>
  <c r="B1962" i="7"/>
  <c r="B1963" i="7"/>
  <c r="B1964" i="7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B1978" i="7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7" i="7"/>
  <c r="B2008" i="7"/>
  <c r="B2009" i="7"/>
  <c r="B2010" i="7"/>
  <c r="B2011" i="7"/>
  <c r="B2012" i="7"/>
  <c r="B2013" i="7"/>
  <c r="B2014" i="7"/>
  <c r="B2015" i="7"/>
  <c r="B2016" i="7"/>
  <c r="B2017" i="7"/>
  <c r="B2018" i="7"/>
  <c r="B2019" i="7"/>
  <c r="B2020" i="7"/>
  <c r="B2021" i="7"/>
  <c r="B2022" i="7"/>
  <c r="B2023" i="7"/>
  <c r="B2024" i="7"/>
  <c r="B2025" i="7"/>
  <c r="B2026" i="7"/>
  <c r="B2027" i="7"/>
  <c r="B2028" i="7"/>
  <c r="B2029" i="7"/>
  <c r="B2030" i="7"/>
  <c r="B2031" i="7"/>
  <c r="B2032" i="7"/>
  <c r="B2033" i="7"/>
  <c r="B2034" i="7"/>
  <c r="B2035" i="7"/>
  <c r="B2036" i="7"/>
  <c r="B2037" i="7"/>
  <c r="B2038" i="7"/>
  <c r="B2039" i="7"/>
  <c r="B2040" i="7"/>
  <c r="B2041" i="7"/>
  <c r="B2042" i="7"/>
  <c r="B2043" i="7"/>
  <c r="B2044" i="7"/>
  <c r="B2045" i="7"/>
  <c r="B2046" i="7"/>
  <c r="B2047" i="7"/>
  <c r="B2048" i="7"/>
  <c r="B2049" i="7"/>
  <c r="B2050" i="7"/>
  <c r="B2051" i="7"/>
  <c r="B2052" i="7"/>
  <c r="B2053" i="7"/>
  <c r="B2054" i="7"/>
  <c r="B2055" i="7"/>
  <c r="B2056" i="7"/>
  <c r="B2057" i="7"/>
  <c r="B2058" i="7"/>
  <c r="B2059" i="7"/>
  <c r="B2060" i="7"/>
  <c r="B2061" i="7"/>
  <c r="B2062" i="7"/>
  <c r="B2063" i="7"/>
  <c r="B2064" i="7"/>
  <c r="B2065" i="7"/>
  <c r="B2066" i="7"/>
  <c r="B2067" i="7"/>
  <c r="B2068" i="7"/>
  <c r="B2069" i="7"/>
  <c r="B2070" i="7"/>
  <c r="B2071" i="7"/>
  <c r="B2072" i="7"/>
  <c r="B2073" i="7"/>
  <c r="B2074" i="7"/>
  <c r="B2075" i="7"/>
  <c r="B2076" i="7"/>
  <c r="B2077" i="7"/>
  <c r="B2078" i="7"/>
  <c r="B2079" i="7"/>
  <c r="B2080" i="7"/>
  <c r="B2081" i="7"/>
  <c r="B2082" i="7"/>
  <c r="B2083" i="7"/>
  <c r="B2084" i="7"/>
  <c r="B2085" i="7"/>
  <c r="B2086" i="7"/>
  <c r="B2087" i="7"/>
  <c r="B2088" i="7"/>
  <c r="B2089" i="7"/>
  <c r="B2090" i="7"/>
  <c r="B2091" i="7"/>
  <c r="B2092" i="7"/>
  <c r="B2093" i="7"/>
  <c r="B2094" i="7"/>
  <c r="B2095" i="7"/>
  <c r="B2096" i="7"/>
  <c r="B2097" i="7"/>
  <c r="B2098" i="7"/>
  <c r="B2099" i="7"/>
  <c r="B2100" i="7"/>
  <c r="B2101" i="7"/>
  <c r="B2102" i="7"/>
  <c r="B2103" i="7"/>
  <c r="B2104" i="7"/>
  <c r="B2105" i="7"/>
  <c r="B2106" i="7"/>
  <c r="B2107" i="7"/>
  <c r="B2108" i="7"/>
  <c r="B2109" i="7"/>
  <c r="B2110" i="7"/>
  <c r="B2111" i="7"/>
  <c r="B2112" i="7"/>
  <c r="B2113" i="7"/>
  <c r="B2114" i="7"/>
  <c r="B2115" i="7"/>
  <c r="B2116" i="7"/>
  <c r="B2117" i="7"/>
  <c r="B2118" i="7"/>
  <c r="B2119" i="7"/>
  <c r="B2120" i="7"/>
  <c r="B2121" i="7"/>
  <c r="B2122" i="7"/>
  <c r="B2123" i="7"/>
  <c r="B2124" i="7"/>
  <c r="B2125" i="7"/>
  <c r="B2126" i="7"/>
  <c r="B2127" i="7"/>
  <c r="B2128" i="7"/>
  <c r="B2129" i="7"/>
  <c r="B2130" i="7"/>
  <c r="B2131" i="7"/>
  <c r="B2132" i="7"/>
  <c r="B2133" i="7"/>
  <c r="B2134" i="7"/>
  <c r="B2135" i="7"/>
  <c r="B2136" i="7"/>
  <c r="B2137" i="7"/>
  <c r="B2138" i="7"/>
  <c r="B2139" i="7"/>
  <c r="B2140" i="7"/>
  <c r="B2141" i="7"/>
  <c r="B2142" i="7"/>
  <c r="B2143" i="7"/>
  <c r="B2144" i="7"/>
  <c r="B2145" i="7"/>
  <c r="B2146" i="7"/>
  <c r="B2147" i="7"/>
  <c r="B2148" i="7"/>
  <c r="B2149" i="7"/>
  <c r="B2150" i="7"/>
  <c r="B2151" i="7"/>
  <c r="B2152" i="7"/>
  <c r="B2153" i="7"/>
  <c r="B2154" i="7"/>
  <c r="B2155" i="7"/>
  <c r="B2156" i="7"/>
  <c r="B2157" i="7"/>
  <c r="B2158" i="7"/>
  <c r="B2159" i="7"/>
  <c r="B2160" i="7"/>
  <c r="B2161" i="7"/>
  <c r="B2162" i="7"/>
  <c r="B2163" i="7"/>
  <c r="B2164" i="7"/>
  <c r="B2165" i="7"/>
  <c r="B2166" i="7"/>
  <c r="B2167" i="7"/>
  <c r="B2168" i="7"/>
  <c r="B2169" i="7"/>
  <c r="B2170" i="7"/>
  <c r="B2171" i="7"/>
  <c r="B2172" i="7"/>
  <c r="B2173" i="7"/>
  <c r="B2174" i="7"/>
  <c r="B2175" i="7"/>
  <c r="B2176" i="7"/>
  <c r="B2177" i="7"/>
  <c r="B2178" i="7"/>
  <c r="B2179" i="7"/>
  <c r="B2180" i="7"/>
  <c r="B2181" i="7"/>
  <c r="B2182" i="7"/>
  <c r="B2183" i="7"/>
  <c r="B2184" i="7"/>
  <c r="B2185" i="7"/>
  <c r="B2186" i="7"/>
  <c r="B2187" i="7"/>
  <c r="B2188" i="7"/>
  <c r="B2189" i="7"/>
  <c r="B2190" i="7"/>
  <c r="B2191" i="7"/>
  <c r="B2192" i="7"/>
  <c r="B2193" i="7"/>
  <c r="B2194" i="7"/>
  <c r="B2195" i="7"/>
  <c r="B2196" i="7"/>
  <c r="B2197" i="7"/>
  <c r="B2198" i="7"/>
  <c r="B2199" i="7"/>
  <c r="B2200" i="7"/>
  <c r="B2201" i="7"/>
  <c r="B2202" i="7"/>
  <c r="B2203" i="7"/>
  <c r="B2204" i="7"/>
  <c r="B2205" i="7"/>
  <c r="B2206" i="7"/>
  <c r="B2207" i="7"/>
  <c r="B2208" i="7"/>
  <c r="B2209" i="7"/>
  <c r="B2210" i="7"/>
  <c r="B2211" i="7"/>
  <c r="B2212" i="7"/>
  <c r="B2213" i="7"/>
  <c r="B2214" i="7"/>
  <c r="B2215" i="7"/>
  <c r="B2216" i="7"/>
  <c r="B2217" i="7"/>
  <c r="B2218" i="7"/>
  <c r="B2219" i="7"/>
  <c r="B2220" i="7"/>
  <c r="B2221" i="7"/>
  <c r="B2222" i="7"/>
  <c r="B2223" i="7"/>
  <c r="B2224" i="7"/>
  <c r="B2225" i="7"/>
  <c r="B2226" i="7"/>
  <c r="B2227" i="7"/>
  <c r="B2228" i="7"/>
  <c r="B2229" i="7"/>
  <c r="B2230" i="7"/>
  <c r="B2231" i="7"/>
  <c r="B2232" i="7"/>
  <c r="B2233" i="7"/>
  <c r="B2234" i="7"/>
  <c r="B2235" i="7"/>
  <c r="B2236" i="7"/>
  <c r="B2237" i="7"/>
  <c r="B2238" i="7"/>
  <c r="B2239" i="7"/>
  <c r="B2240" i="7"/>
  <c r="B2241" i="7"/>
  <c r="B2242" i="7"/>
  <c r="B2243" i="7"/>
  <c r="B2244" i="7"/>
  <c r="B2245" i="7"/>
  <c r="B2246" i="7"/>
  <c r="B2247" i="7"/>
  <c r="B2248" i="7"/>
  <c r="B2249" i="7"/>
  <c r="B2250" i="7"/>
  <c r="B2251" i="7"/>
  <c r="B2252" i="7"/>
  <c r="B2253" i="7"/>
  <c r="B2254" i="7"/>
  <c r="B2255" i="7"/>
  <c r="B2256" i="7"/>
  <c r="B2257" i="7"/>
  <c r="B2258" i="7"/>
  <c r="B2259" i="7"/>
  <c r="B2260" i="7"/>
  <c r="B2261" i="7"/>
  <c r="B2262" i="7"/>
  <c r="B2263" i="7"/>
  <c r="B2264" i="7"/>
  <c r="B2265" i="7"/>
  <c r="B2266" i="7"/>
  <c r="B2267" i="7"/>
  <c r="B2268" i="7"/>
  <c r="B2269" i="7"/>
  <c r="B2270" i="7"/>
  <c r="B2271" i="7"/>
  <c r="B2272" i="7"/>
  <c r="B2273" i="7"/>
  <c r="B2274" i="7"/>
  <c r="B2275" i="7"/>
  <c r="B2276" i="7"/>
  <c r="B2277" i="7"/>
  <c r="B2278" i="7"/>
  <c r="B2279" i="7"/>
  <c r="B2280" i="7"/>
  <c r="B2281" i="7"/>
  <c r="B2282" i="7"/>
  <c r="B2283" i="7"/>
  <c r="B2284" i="7"/>
  <c r="B2285" i="7"/>
  <c r="B2286" i="7"/>
  <c r="B2287" i="7"/>
  <c r="B2288" i="7"/>
  <c r="B2289" i="7"/>
  <c r="B2290" i="7"/>
  <c r="B2291" i="7"/>
  <c r="B2292" i="7"/>
  <c r="B2293" i="7"/>
  <c r="B2294" i="7"/>
  <c r="B2295" i="7"/>
  <c r="B2296" i="7"/>
  <c r="B2297" i="7"/>
  <c r="B2298" i="7"/>
  <c r="B2299" i="7"/>
  <c r="B2300" i="7"/>
  <c r="B2301" i="7"/>
  <c r="B2302" i="7"/>
  <c r="B2303" i="7"/>
  <c r="B2304" i="7"/>
  <c r="B2305" i="7"/>
  <c r="B2306" i="7"/>
  <c r="B2307" i="7"/>
  <c r="B2308" i="7"/>
  <c r="B2309" i="7"/>
  <c r="B2310" i="7"/>
  <c r="B2311" i="7"/>
  <c r="B2312" i="7"/>
  <c r="B2313" i="7"/>
  <c r="B2314" i="7"/>
  <c r="B2315" i="7"/>
  <c r="B2316" i="7"/>
  <c r="B2317" i="7"/>
  <c r="B2318" i="7"/>
  <c r="B2319" i="7"/>
  <c r="B2320" i="7"/>
  <c r="B2321" i="7"/>
  <c r="B2322" i="7"/>
  <c r="B2323" i="7"/>
  <c r="B2324" i="7"/>
  <c r="B2325" i="7"/>
  <c r="B2326" i="7"/>
  <c r="B2327" i="7"/>
  <c r="B2328" i="7"/>
  <c r="B2329" i="7"/>
  <c r="B2330" i="7"/>
  <c r="B2331" i="7"/>
  <c r="B2332" i="7"/>
  <c r="B2333" i="7"/>
  <c r="B2334" i="7"/>
  <c r="B2335" i="7"/>
  <c r="B2336" i="7"/>
  <c r="B2337" i="7"/>
  <c r="B2338" i="7"/>
  <c r="B2339" i="7"/>
  <c r="B2340" i="7"/>
  <c r="B2341" i="7"/>
  <c r="B2342" i="7"/>
  <c r="B2343" i="7"/>
  <c r="B2344" i="7"/>
  <c r="B2345" i="7"/>
  <c r="B2346" i="7"/>
  <c r="B2347" i="7"/>
  <c r="B2348" i="7"/>
  <c r="B2349" i="7"/>
  <c r="B2350" i="7"/>
  <c r="B2351" i="7"/>
  <c r="B2352" i="7"/>
  <c r="B2353" i="7"/>
  <c r="D16" i="5" l="1"/>
  <c r="I13" i="5"/>
  <c r="I9" i="5"/>
  <c r="G16" i="5"/>
  <c r="I12" i="5"/>
  <c r="I8" i="5"/>
  <c r="F16" i="5"/>
  <c r="I15" i="5"/>
  <c r="I11" i="5"/>
  <c r="I7" i="5"/>
  <c r="E16" i="5"/>
  <c r="I14" i="5"/>
  <c r="I10" i="5"/>
  <c r="H5" i="4"/>
  <c r="H6" i="4"/>
  <c r="H7" i="4"/>
  <c r="H8" i="4"/>
  <c r="H9" i="4"/>
  <c r="H10" i="4"/>
  <c r="H11" i="4"/>
  <c r="H12" i="4"/>
  <c r="H13" i="4"/>
  <c r="D14" i="4"/>
  <c r="H14" i="4" s="1"/>
  <c r="E14" i="4"/>
  <c r="F14" i="4"/>
  <c r="G14" i="4"/>
  <c r="D15" i="4" l="1"/>
  <c r="I8" i="4"/>
  <c r="I12" i="4"/>
  <c r="I5" i="4"/>
  <c r="I9" i="4"/>
  <c r="I13" i="4"/>
  <c r="G15" i="4"/>
  <c r="I6" i="4"/>
  <c r="I10" i="4"/>
  <c r="I14" i="4"/>
  <c r="I7" i="4"/>
  <c r="I11" i="4"/>
  <c r="F15" i="4"/>
  <c r="E15" i="4"/>
  <c r="H15" i="4"/>
</calcChain>
</file>

<file path=xl/sharedStrings.xml><?xml version="1.0" encoding="utf-8"?>
<sst xmlns="http://schemas.openxmlformats.org/spreadsheetml/2006/main" count="9800" uniqueCount="2729">
  <si>
    <t>Personalnummer:</t>
  </si>
  <si>
    <t>Name:</t>
  </si>
  <si>
    <t>Vorname:</t>
  </si>
  <si>
    <t>Dienststelle:</t>
  </si>
  <si>
    <t>Gehörschutz:</t>
  </si>
  <si>
    <t>sonstige:</t>
  </si>
  <si>
    <t>Laserschütze:</t>
  </si>
  <si>
    <t>Auflagen</t>
  </si>
  <si>
    <t>Förderlehrgang</t>
  </si>
  <si>
    <t>Bemerkung</t>
  </si>
  <si>
    <t>Art der Verwendung:</t>
  </si>
  <si>
    <t>Referat:</t>
  </si>
  <si>
    <t>Jahr:</t>
  </si>
  <si>
    <t>Dir E</t>
  </si>
  <si>
    <t>Speicherort:</t>
  </si>
  <si>
    <t>Datenbank</t>
  </si>
  <si>
    <t>Datei</t>
  </si>
  <si>
    <t>Einstellungen</t>
  </si>
  <si>
    <t>Dir E St</t>
  </si>
  <si>
    <t>Zielgruppen</t>
  </si>
  <si>
    <t>Referat</t>
  </si>
  <si>
    <t>Gesamt</t>
  </si>
  <si>
    <t>in %</t>
  </si>
  <si>
    <t>Summe</t>
  </si>
  <si>
    <t>ZG 3</t>
  </si>
  <si>
    <t>Verteilung von Zielgruppen in den Referaten</t>
  </si>
  <si>
    <t>ZG 1</t>
  </si>
  <si>
    <t>ZG 0</t>
  </si>
  <si>
    <t>ZG 2</t>
  </si>
  <si>
    <t>Dir E BVkD</t>
  </si>
  <si>
    <t>Dir E DhfE</t>
  </si>
  <si>
    <t>Dir E ELZ</t>
  </si>
  <si>
    <t>Dir E ET</t>
  </si>
  <si>
    <t>Dir E Gef</t>
  </si>
  <si>
    <t>Dir E PHuSt</t>
  </si>
  <si>
    <t>Dir E WSP</t>
  </si>
  <si>
    <t>Dir E ZOS</t>
  </si>
  <si>
    <t>Dir E St FüU</t>
  </si>
  <si>
    <t>Laser</t>
  </si>
  <si>
    <t>\\map-file-0680\DirE\Dir ZA Stab\Dir E ET\ET 2 -  S -Schießen-\Statistik\Schießen Statistik ab 2019</t>
  </si>
  <si>
    <t>Anz. MA</t>
  </si>
  <si>
    <t>Anz. Audiosch.</t>
  </si>
  <si>
    <t>scharfer Schuss</t>
  </si>
  <si>
    <t>a Brassard, Ni.</t>
  </si>
  <si>
    <t>Dir E BVkD 1. BVK 3</t>
  </si>
  <si>
    <t>Abou Sourrah, El.</t>
  </si>
  <si>
    <t>Dir E BVkD 2. BVK 3</t>
  </si>
  <si>
    <t>Ackermann, Je.</t>
  </si>
  <si>
    <t>Dir E BVkD VSD 12</t>
  </si>
  <si>
    <t>Hospi, HH</t>
  </si>
  <si>
    <t>Ahl, St.</t>
  </si>
  <si>
    <t>Dir E BVkD St 3</t>
  </si>
  <si>
    <t>Ahrens, Ra.</t>
  </si>
  <si>
    <t>Dir E BVkD 3. BVK</t>
  </si>
  <si>
    <t>Allin-Lange, Th.</t>
  </si>
  <si>
    <t>Dir E BVkD 3. BVK 1</t>
  </si>
  <si>
    <t>Altenkirch, To.</t>
  </si>
  <si>
    <t>Dir E BVkD 1. BVK 2</t>
  </si>
  <si>
    <t>Andrusic, Ka.</t>
  </si>
  <si>
    <t>Dir E BVkD 2. BVK 2</t>
  </si>
  <si>
    <t>Apel, Al.</t>
  </si>
  <si>
    <t>Arendt, Fl.</t>
  </si>
  <si>
    <t>Dir E BVkD 1. BVK 1</t>
  </si>
  <si>
    <t>Arslan, Fa.</t>
  </si>
  <si>
    <t>Artschwager, Ka.</t>
  </si>
  <si>
    <t>Dir E BVkD VSD 2</t>
  </si>
  <si>
    <t>Augsten, Ma.</t>
  </si>
  <si>
    <t>Dir E BVkD VSD 4</t>
  </si>
  <si>
    <t>Aydin, Mu.</t>
  </si>
  <si>
    <t>Dir E BVkD 5. BVK 1</t>
  </si>
  <si>
    <t>Baars, Th.</t>
  </si>
  <si>
    <t>Dir E BVkD VSD 3</t>
  </si>
  <si>
    <t>Babig, Ol.</t>
  </si>
  <si>
    <t>Dir E BVkD 5. BVK 3</t>
  </si>
  <si>
    <t>dkr</t>
  </si>
  <si>
    <t>Backhaus, Uw.</t>
  </si>
  <si>
    <t>Dir E BVKD St 1 VEZ - B</t>
  </si>
  <si>
    <t>Badura, St.</t>
  </si>
  <si>
    <t>Ballhause, Ol.</t>
  </si>
  <si>
    <t>Bammer, Th.</t>
  </si>
  <si>
    <t>verw.eing</t>
  </si>
  <si>
    <t>Bania, De.</t>
  </si>
  <si>
    <t>Bania, Da.</t>
  </si>
  <si>
    <t>Bänsch, Ch.</t>
  </si>
  <si>
    <t>Bartels, Ud.</t>
  </si>
  <si>
    <t>Dir E BVKD St 1 VEZ - C</t>
  </si>
  <si>
    <t>Barthel, Me.</t>
  </si>
  <si>
    <t>Barthels, An.</t>
  </si>
  <si>
    <t>Bartlick, Bi.</t>
  </si>
  <si>
    <t>Dir E BVkD 2. BVK 1</t>
  </si>
  <si>
    <t>Barucker, Ni.</t>
  </si>
  <si>
    <t>Baß, Ca.</t>
  </si>
  <si>
    <t>Bast, An.</t>
  </si>
  <si>
    <t>Dir E BVKD St 1 VEZ - D</t>
  </si>
  <si>
    <t>Bathe, Be.</t>
  </si>
  <si>
    <t>Dir E BVkD 4. BVK 2</t>
  </si>
  <si>
    <t>Bauer, Ho.</t>
  </si>
  <si>
    <t>Dir E BVkD 5. BVK 01</t>
  </si>
  <si>
    <t>Baugatz, Uw.</t>
  </si>
  <si>
    <t>Baumgart, Th.</t>
  </si>
  <si>
    <t>Bayrhammer, Sa.</t>
  </si>
  <si>
    <t>Dir E BVkD 4. BVK 1</t>
  </si>
  <si>
    <t>Beau, Pe.</t>
  </si>
  <si>
    <t>Dir E BVkD 3. BVK 3</t>
  </si>
  <si>
    <t>Becher, Vo.</t>
  </si>
  <si>
    <t>Dir E BVkD 3. BVK 2</t>
  </si>
  <si>
    <t>Becker, Sa.</t>
  </si>
  <si>
    <t>Beckmann, Kl.</t>
  </si>
  <si>
    <t>Bednarz, An.</t>
  </si>
  <si>
    <t>Dir E BVkD VSD 22</t>
  </si>
  <si>
    <t>Behrend, Kn.</t>
  </si>
  <si>
    <t>Bendig, Ro.</t>
  </si>
  <si>
    <t>Berg, Sa.</t>
  </si>
  <si>
    <t>Dir E BVkD St 1 VEZ</t>
  </si>
  <si>
    <t>Berghäuser, De.</t>
  </si>
  <si>
    <t>Bergmann, Kr.</t>
  </si>
  <si>
    <t>Berlin, Ud.</t>
  </si>
  <si>
    <t>Dir E BVKD St 1 VEZ - E</t>
  </si>
  <si>
    <t>Berndt, Vo.</t>
  </si>
  <si>
    <t>Bernhardt, Ra.</t>
  </si>
  <si>
    <t>Bernicke, Ol.</t>
  </si>
  <si>
    <t>Dir E BVkD 2. BVK</t>
  </si>
  <si>
    <t>Beuchert, Th.</t>
  </si>
  <si>
    <t>Dir E BVkD VSD 13</t>
  </si>
  <si>
    <t>Biegall, An.</t>
  </si>
  <si>
    <t>Biewald, Ka.</t>
  </si>
  <si>
    <t>Binder, Th.</t>
  </si>
  <si>
    <t>Dir E BVkD 1. BVK 01</t>
  </si>
  <si>
    <t>Binert, Th.</t>
  </si>
  <si>
    <t>Dir E BVkD 2. BVK 01</t>
  </si>
  <si>
    <t>Bochon, Ma.</t>
  </si>
  <si>
    <t>Bodin, Mi.</t>
  </si>
  <si>
    <t>verw.eing, Hospi</t>
  </si>
  <si>
    <t>Böhlandt, Al.</t>
  </si>
  <si>
    <t>Böhmer, Be.</t>
  </si>
  <si>
    <t>Bohun, St.</t>
  </si>
  <si>
    <t>Bolduan, Jo.</t>
  </si>
  <si>
    <t>Dir E BVkD VSD</t>
  </si>
  <si>
    <t>Bonk, Da.</t>
  </si>
  <si>
    <t>Borchardt, El.</t>
  </si>
  <si>
    <t>Börnig, Ka.</t>
  </si>
  <si>
    <t>Borutta, Ro.</t>
  </si>
  <si>
    <t>Bothe, Me.</t>
  </si>
  <si>
    <t>Bothe, Da.</t>
  </si>
  <si>
    <t>Dir E BVkD 4. BVK 3</t>
  </si>
  <si>
    <t>EZt</t>
  </si>
  <si>
    <t>Brachmann, Fr.</t>
  </si>
  <si>
    <t>Bradtke, Sa.</t>
  </si>
  <si>
    <t>Dir E BVkD St 2</t>
  </si>
  <si>
    <t>Braetz, Fr.</t>
  </si>
  <si>
    <t>Dir E BVkD 5. BVK 2</t>
  </si>
  <si>
    <t>Brand, Ka.</t>
  </si>
  <si>
    <t>Brandt, Ol.</t>
  </si>
  <si>
    <t>Braun, La.</t>
  </si>
  <si>
    <t>Braune, Th.</t>
  </si>
  <si>
    <t>Bräutigam, To.</t>
  </si>
  <si>
    <t>Breiert, Jö.</t>
  </si>
  <si>
    <t>Breitenstein, Mi.</t>
  </si>
  <si>
    <t>Dir E BVkD VSD 15</t>
  </si>
  <si>
    <t>Bremmert, Je.</t>
  </si>
  <si>
    <t>Brendel, Ma.</t>
  </si>
  <si>
    <t>Brey, Ch.</t>
  </si>
  <si>
    <t>Dir E BVkD 5. BVK</t>
  </si>
  <si>
    <t>Bringezu, Di.</t>
  </si>
  <si>
    <t>Bröker, St.</t>
  </si>
  <si>
    <t>Brombach, Ax.</t>
  </si>
  <si>
    <t>Bromberg, Ca.</t>
  </si>
  <si>
    <t>Dir E BVkD VSD 23</t>
  </si>
  <si>
    <t>Broßat, He.</t>
  </si>
  <si>
    <t>Dir E BVkD VSD 14</t>
  </si>
  <si>
    <t>Brückner, Di.</t>
  </si>
  <si>
    <t>Brunner, An.</t>
  </si>
  <si>
    <t>Buchalski, Do.</t>
  </si>
  <si>
    <t>Buchholz, Da.</t>
  </si>
  <si>
    <t>Buchwaldt, Si.</t>
  </si>
  <si>
    <t>Buckschewski, Ra.</t>
  </si>
  <si>
    <t>Buder, Gu.</t>
  </si>
  <si>
    <t>Bühning, Ro.</t>
  </si>
  <si>
    <t>Busse, Pe.</t>
  </si>
  <si>
    <t>Bütow, Fr.</t>
  </si>
  <si>
    <t>Butzke, Jö.</t>
  </si>
  <si>
    <t>Carow, Ca.</t>
  </si>
  <si>
    <t>Cichos, Sy.</t>
  </si>
  <si>
    <t>Ciemala, Ca.</t>
  </si>
  <si>
    <t>Cramer, St.</t>
  </si>
  <si>
    <t>Cromer, Ma.</t>
  </si>
  <si>
    <t>Curland, Ma.</t>
  </si>
  <si>
    <t>Dach, Ni.</t>
  </si>
  <si>
    <t>Dir E BVkD St 1 VEZ - A</t>
  </si>
  <si>
    <t>Dahlke, Is.</t>
  </si>
  <si>
    <t>Dahms, Mi.</t>
  </si>
  <si>
    <t>Dakovic, Jo.</t>
  </si>
  <si>
    <t>Deckert, To.</t>
  </si>
  <si>
    <t>Dembicki, Mi.</t>
  </si>
  <si>
    <t>Dertli, Um.</t>
  </si>
  <si>
    <t>Deutschmann, Ma.</t>
  </si>
  <si>
    <t>Diederichs, Ma.</t>
  </si>
  <si>
    <t>Dierks, In.</t>
  </si>
  <si>
    <t>Dietz, An.</t>
  </si>
  <si>
    <t>Dir E BVkD 3. BVK 01</t>
  </si>
  <si>
    <t>Dietz, Mi.</t>
  </si>
  <si>
    <t>Hospi</t>
  </si>
  <si>
    <t>Dobberthien, Uw.</t>
  </si>
  <si>
    <t>verw.eing, dkr</t>
  </si>
  <si>
    <t>Dogan, Mu.</t>
  </si>
  <si>
    <t>Dräger, Re.</t>
  </si>
  <si>
    <t>Drescher, Ma.</t>
  </si>
  <si>
    <t>Drohm, Ca.</t>
  </si>
  <si>
    <t>Dir E BVkD VSD 11</t>
  </si>
  <si>
    <t>Dubisch, Ma.</t>
  </si>
  <si>
    <t>Dülfer, Re.</t>
  </si>
  <si>
    <t>Dir E BVkD VSD 01</t>
  </si>
  <si>
    <t>Dürschner, Fr.</t>
  </si>
  <si>
    <t>Düzgün, Ug.</t>
  </si>
  <si>
    <t>Dzinbeck, Uw.</t>
  </si>
  <si>
    <t>Ebel, St.</t>
  </si>
  <si>
    <t>Ebel, Jö.</t>
  </si>
  <si>
    <t>Eder, En.</t>
  </si>
  <si>
    <t>Eggen, Re.</t>
  </si>
  <si>
    <t>Ehlers, Il.</t>
  </si>
  <si>
    <t>Ehmann, Se.</t>
  </si>
  <si>
    <t>Ehmke, Ti.</t>
  </si>
  <si>
    <t>Eichhorst, Ha.</t>
  </si>
  <si>
    <t>Eisenschmidt, Je.</t>
  </si>
  <si>
    <t>Ellinger, An.</t>
  </si>
  <si>
    <t>Elsner, Ma.</t>
  </si>
  <si>
    <t>Emde, Ha.</t>
  </si>
  <si>
    <t>Engel, Ma.</t>
  </si>
  <si>
    <t>Engeser, To.</t>
  </si>
  <si>
    <t>Erdmann, Ol.</t>
  </si>
  <si>
    <t>Ermers, Ge.</t>
  </si>
  <si>
    <t>Ermisch, Be.</t>
  </si>
  <si>
    <t>Eschenbach, Me.</t>
  </si>
  <si>
    <t>Eschner, Ra.</t>
  </si>
  <si>
    <t>Evers, Ka.</t>
  </si>
  <si>
    <t>Dir E BVkD VSD 02</t>
  </si>
  <si>
    <t>TZ, verw.eing</t>
  </si>
  <si>
    <t>Ewald, Ma.</t>
  </si>
  <si>
    <t>Eweleit, Ge.</t>
  </si>
  <si>
    <t>Eweling, In.</t>
  </si>
  <si>
    <t>Fahr, In.</t>
  </si>
  <si>
    <t>Falkenberg, Jö.</t>
  </si>
  <si>
    <t>Dir E BVkD VSD 1</t>
  </si>
  <si>
    <t>Faralewski, Ch.</t>
  </si>
  <si>
    <t>Faust, Ka.</t>
  </si>
  <si>
    <t>Fehmer, Mi.</t>
  </si>
  <si>
    <t>Fehrmann, An.</t>
  </si>
  <si>
    <t>Feige, Jo.</t>
  </si>
  <si>
    <t>Feirer, Ch.</t>
  </si>
  <si>
    <t>Feldkeller-Rose, Th.</t>
  </si>
  <si>
    <t>Felk, Ma.</t>
  </si>
  <si>
    <t>Fellgiebel, An.</t>
  </si>
  <si>
    <t>Fieting, In.</t>
  </si>
  <si>
    <t>Finsterbusch, In.</t>
  </si>
  <si>
    <t>Fischer, Th.</t>
  </si>
  <si>
    <t>Fleer, St.</t>
  </si>
  <si>
    <t>Fordan, Ch.</t>
  </si>
  <si>
    <t>Fornaçon, Fr.</t>
  </si>
  <si>
    <t>Förster, Ma.</t>
  </si>
  <si>
    <t>Frank, An.</t>
  </si>
  <si>
    <t>Franke, Pa.</t>
  </si>
  <si>
    <t>Franke, Be.</t>
  </si>
  <si>
    <t>Franz, Be.</t>
  </si>
  <si>
    <t>Freidank, Fr.</t>
  </si>
  <si>
    <t>Freitag, De.</t>
  </si>
  <si>
    <t>Freitag, Na.</t>
  </si>
  <si>
    <t>Freyer, Jo.</t>
  </si>
  <si>
    <t>Friedrich, Mi.</t>
  </si>
  <si>
    <t>Friese, St.</t>
  </si>
  <si>
    <t>Friese, Ha.</t>
  </si>
  <si>
    <t>adV</t>
  </si>
  <si>
    <t>Fritsche, Ma.</t>
  </si>
  <si>
    <t>Fritsche, Th.</t>
  </si>
  <si>
    <t>Fröhbrodt, He.</t>
  </si>
  <si>
    <t>Fuhrmann, Ge.</t>
  </si>
  <si>
    <t>Funk, Ro.</t>
  </si>
  <si>
    <t>Furchert, An.</t>
  </si>
  <si>
    <t>Gabler, Th.</t>
  </si>
  <si>
    <t>dkr, verw.eing</t>
  </si>
  <si>
    <t>Gaede, Ma.</t>
  </si>
  <si>
    <t>Dir E BVkD VSD 21</t>
  </si>
  <si>
    <t>Gallin, Re.</t>
  </si>
  <si>
    <t>Gäpler, Di.</t>
  </si>
  <si>
    <t>Dir E BVKD St 1</t>
  </si>
  <si>
    <t>Garlipp, Ho.</t>
  </si>
  <si>
    <t>Gärtner, Re.</t>
  </si>
  <si>
    <t>Gärtner, Ka.</t>
  </si>
  <si>
    <t>TZ</t>
  </si>
  <si>
    <t>Gassel, Mo.</t>
  </si>
  <si>
    <t>Gayk, Fr.</t>
  </si>
  <si>
    <t>Gellert, Be.</t>
  </si>
  <si>
    <t>Gerhardt, An.</t>
  </si>
  <si>
    <t>TZ, verw.eing, dkr</t>
  </si>
  <si>
    <t>Gericke, Ha.</t>
  </si>
  <si>
    <t>Gericke, An.</t>
  </si>
  <si>
    <t>Gericke, Sy.</t>
  </si>
  <si>
    <t>Gerth, Ka.</t>
  </si>
  <si>
    <t>Geske, Sv.</t>
  </si>
  <si>
    <t>Geyer, Ra.</t>
  </si>
  <si>
    <t>Giebler, Th.</t>
  </si>
  <si>
    <t>Gierig, El.</t>
  </si>
  <si>
    <t>Gierke, Al.</t>
  </si>
  <si>
    <t>Gierz, Ca.</t>
  </si>
  <si>
    <t>Gillwaldt, Fr.</t>
  </si>
  <si>
    <t>Glowienke, An.</t>
  </si>
  <si>
    <t>Gniot, Ra.</t>
  </si>
  <si>
    <t>Goethe, Ka.</t>
  </si>
  <si>
    <t>Goetze, Re.</t>
  </si>
  <si>
    <t>Golda, Al.</t>
  </si>
  <si>
    <t>Gollnik, Ti.</t>
  </si>
  <si>
    <t>Göpfert, An.</t>
  </si>
  <si>
    <t>Gorny, Su.</t>
  </si>
  <si>
    <t>Gose, Ge.</t>
  </si>
  <si>
    <t>Grabowski, St.</t>
  </si>
  <si>
    <t>Grabowski, Mi.</t>
  </si>
  <si>
    <t>Dir E BVkD 4. BVK</t>
  </si>
  <si>
    <t>Grabs, St.</t>
  </si>
  <si>
    <t>Grams, Ho.</t>
  </si>
  <si>
    <t>Grandisch, Ax.</t>
  </si>
  <si>
    <t>Grapentin, Uw.</t>
  </si>
  <si>
    <t>Dir E BvkD VSD 01</t>
  </si>
  <si>
    <t>Graul, Ha.</t>
  </si>
  <si>
    <t>Graumann, Ax.</t>
  </si>
  <si>
    <t>Greiner, Ha.</t>
  </si>
  <si>
    <t>Grethen, Si.</t>
  </si>
  <si>
    <t>Griebenow, He.</t>
  </si>
  <si>
    <t>Griebert, Ca.</t>
  </si>
  <si>
    <t>Grimm, Fr.</t>
  </si>
  <si>
    <t>Grobelny, Th.</t>
  </si>
  <si>
    <t>Gröer, Sa.</t>
  </si>
  <si>
    <t>Groschupf, Uw.</t>
  </si>
  <si>
    <t>Große, Ma.</t>
  </si>
  <si>
    <t>Grossmann, Sv.</t>
  </si>
  <si>
    <t>Grünewald, Sa.</t>
  </si>
  <si>
    <t>Grünheid, St.</t>
  </si>
  <si>
    <t>Grunzke, Ra.</t>
  </si>
  <si>
    <t>Gumprich, Th.</t>
  </si>
  <si>
    <t>Gundlach, Jö.</t>
  </si>
  <si>
    <t>Gunia, Sa.</t>
  </si>
  <si>
    <t>Günther, Bo.</t>
  </si>
  <si>
    <t>Gutmaier, Ni.</t>
  </si>
  <si>
    <t>Gutsche, La.</t>
  </si>
  <si>
    <t>Haase, St.</t>
  </si>
  <si>
    <t>Haase, Ma.</t>
  </si>
  <si>
    <t>Habenicht, Li.</t>
  </si>
  <si>
    <t>Haberl, De.</t>
  </si>
  <si>
    <t>Hacker, Ma.</t>
  </si>
  <si>
    <t>Dir E BVkD 4. BVK 01</t>
  </si>
  <si>
    <t>Hadel, He.</t>
  </si>
  <si>
    <t>Haesler, Bo.</t>
  </si>
  <si>
    <t>Hajdel, Re.</t>
  </si>
  <si>
    <t>Hallmich, No.</t>
  </si>
  <si>
    <t>Hanisch, Ra.</t>
  </si>
  <si>
    <t>Hanke, Mi.</t>
  </si>
  <si>
    <t>Hartmann, Ol.</t>
  </si>
  <si>
    <t>Hartmann, In.</t>
  </si>
  <si>
    <t>Hartmann, De.</t>
  </si>
  <si>
    <t>Hartung, Na.</t>
  </si>
  <si>
    <t>Hartwich, Ol.</t>
  </si>
  <si>
    <t>Dir E BVkD 01</t>
  </si>
  <si>
    <t>Haß, Bi.</t>
  </si>
  <si>
    <t>Haß, Ra.</t>
  </si>
  <si>
    <t>Hauske, Uw.</t>
  </si>
  <si>
    <t>Hawellek, To.</t>
  </si>
  <si>
    <t>Heber, Mi.</t>
  </si>
  <si>
    <t>Heblinski, Ev.</t>
  </si>
  <si>
    <t>Heck, Ch.</t>
  </si>
  <si>
    <t>Heidemann, An.</t>
  </si>
  <si>
    <t>Heiland, Di.</t>
  </si>
  <si>
    <t>Hein, Ma.</t>
  </si>
  <si>
    <t>Hein, He.</t>
  </si>
  <si>
    <t>Heinisch, Ch.</t>
  </si>
  <si>
    <t>Heitke, Ma.</t>
  </si>
  <si>
    <t>Hellwig, La.</t>
  </si>
  <si>
    <t>Helms, Ca.</t>
  </si>
  <si>
    <t>Hendorfer, Re.</t>
  </si>
  <si>
    <t>Henkel, Ch.</t>
  </si>
  <si>
    <t>verw.eing, HH</t>
  </si>
  <si>
    <t>Henze, Ol.</t>
  </si>
  <si>
    <t>Hepner, In.</t>
  </si>
  <si>
    <t>Herms, Bi.</t>
  </si>
  <si>
    <t>Herrmann, Ma.</t>
  </si>
  <si>
    <t>Herrmann, An.</t>
  </si>
  <si>
    <t>Herrmann, Mi.</t>
  </si>
  <si>
    <t>Hessel, An.</t>
  </si>
  <si>
    <t>Heuermann, Mi.</t>
  </si>
  <si>
    <t>HH</t>
  </si>
  <si>
    <t>Hevenk, At.</t>
  </si>
  <si>
    <t>Hierdler, Ma.</t>
  </si>
  <si>
    <t>Hildebrandt, Di.</t>
  </si>
  <si>
    <t>Hildebrandt, Ro.</t>
  </si>
  <si>
    <t>Hilger, In.</t>
  </si>
  <si>
    <t>Hilker, Ro.</t>
  </si>
  <si>
    <t>Himsworth, St.</t>
  </si>
  <si>
    <t>Hinze, Ma.</t>
  </si>
  <si>
    <t>Hipp, Al.</t>
  </si>
  <si>
    <t>Hirschfeld, Fr.</t>
  </si>
  <si>
    <t>Hoffmann, Sa.</t>
  </si>
  <si>
    <t>Hoffmann, Di.</t>
  </si>
  <si>
    <t>Hoffmann, St.</t>
  </si>
  <si>
    <t>Höft, Th.</t>
  </si>
  <si>
    <t>Hohlfeldt, De.</t>
  </si>
  <si>
    <t>Hoppe, De.</t>
  </si>
  <si>
    <t>verw.eing, TZ, adv</t>
  </si>
  <si>
    <t>Horsch, So.</t>
  </si>
  <si>
    <t>Hübener, An.</t>
  </si>
  <si>
    <t>Hübner, Fr.</t>
  </si>
  <si>
    <t>Huhnke, St.</t>
  </si>
  <si>
    <t>Humberg, Ch.</t>
  </si>
  <si>
    <t>Hund, Ma.</t>
  </si>
  <si>
    <t>Hupe, Ch.</t>
  </si>
  <si>
    <t>Ide, Ma.</t>
  </si>
  <si>
    <t>Jacobi, Ni.</t>
  </si>
  <si>
    <t>verw.eing, adv</t>
  </si>
  <si>
    <t>Jacobs, Da.</t>
  </si>
  <si>
    <t>Jaeger, Sa.</t>
  </si>
  <si>
    <t>Jakubik, En.</t>
  </si>
  <si>
    <t>Jänicke, Fl.</t>
  </si>
  <si>
    <t>Janiczek, Em.</t>
  </si>
  <si>
    <t>Janiczek, Ka.</t>
  </si>
  <si>
    <t>Jänsch, Mi.</t>
  </si>
  <si>
    <t>Janthur, Kl.</t>
  </si>
  <si>
    <t>Jarysz, Al.</t>
  </si>
  <si>
    <t>Jasinski, Mi.</t>
  </si>
  <si>
    <t>Jensch, An.</t>
  </si>
  <si>
    <t>John, Sa.</t>
  </si>
  <si>
    <t>John, Ca.</t>
  </si>
  <si>
    <t>TZ, verw.eing, adV</t>
  </si>
  <si>
    <t>Johns, Ra.</t>
  </si>
  <si>
    <t>Käbisch, Ge.</t>
  </si>
  <si>
    <t>Kaczorowski, Jo.</t>
  </si>
  <si>
    <t>Kähler, Th.</t>
  </si>
  <si>
    <t>Kahlfuß, Ch.</t>
  </si>
  <si>
    <t>Kahnt, Sv.</t>
  </si>
  <si>
    <t>Dir E BVkD St 1</t>
  </si>
  <si>
    <t>Kaiser, Mi.</t>
  </si>
  <si>
    <t>Kammel, Mi.</t>
  </si>
  <si>
    <t>Kaßebaum, Be.</t>
  </si>
  <si>
    <t>Kasten, Th.</t>
  </si>
  <si>
    <t>Kasterke, Ol.</t>
  </si>
  <si>
    <t>Kästner, Cl.</t>
  </si>
  <si>
    <t>Kenne, Th.</t>
  </si>
  <si>
    <t>Kennemann, Ro.</t>
  </si>
  <si>
    <t>Kerscht, Ol.</t>
  </si>
  <si>
    <t>Kiep, Pe.</t>
  </si>
  <si>
    <t>Kietzmann, Th.</t>
  </si>
  <si>
    <t>Kihlholz, Sa.</t>
  </si>
  <si>
    <t>TZ, Hospi</t>
  </si>
  <si>
    <t>Kilian, Gu.</t>
  </si>
  <si>
    <t>Kirchhof, Mi.</t>
  </si>
  <si>
    <t>Kirchhoff, Ul.</t>
  </si>
  <si>
    <t>Kirsten, No.</t>
  </si>
  <si>
    <t>Kißmann, Th.</t>
  </si>
  <si>
    <t>Klaus, St.</t>
  </si>
  <si>
    <t>Klausnitzer, We.</t>
  </si>
  <si>
    <t>Kleemann, Sa.</t>
  </si>
  <si>
    <t>Kleist, Th.</t>
  </si>
  <si>
    <t>Kleist, An.</t>
  </si>
  <si>
    <t>Klewer, An.</t>
  </si>
  <si>
    <t>Klose, Bu.</t>
  </si>
  <si>
    <t>Klotz, Ar.</t>
  </si>
  <si>
    <t>Klotz, Al.</t>
  </si>
  <si>
    <t>Knoll, An.</t>
  </si>
  <si>
    <t>Knollmeyer, Ro.</t>
  </si>
  <si>
    <t>Knüppel, Ch.</t>
  </si>
  <si>
    <t>Koch, Ma.</t>
  </si>
  <si>
    <t>Koch, Mi.</t>
  </si>
  <si>
    <t>Koch, Da.</t>
  </si>
  <si>
    <t>Koenig, St.</t>
  </si>
  <si>
    <t>Koepernick, Ca.</t>
  </si>
  <si>
    <t>Kofer, St.</t>
  </si>
  <si>
    <t>Köhr, De.</t>
  </si>
  <si>
    <t>Konieczny, Ol.</t>
  </si>
  <si>
    <t>Konrad, Ho.</t>
  </si>
  <si>
    <t>Kopacek, Fr.</t>
  </si>
  <si>
    <t>Kopietzky, Ni.</t>
  </si>
  <si>
    <t>Koppe, An.</t>
  </si>
  <si>
    <t>Köppe, He.</t>
  </si>
  <si>
    <t>Korb, Du.</t>
  </si>
  <si>
    <t>Körner, Al.</t>
  </si>
  <si>
    <t>Kovačević, Di.</t>
  </si>
  <si>
    <t>Dir E BVkD 1. BVK 02</t>
  </si>
  <si>
    <t>Kowallek, Ja.</t>
  </si>
  <si>
    <t>Kozack, Ha.</t>
  </si>
  <si>
    <t>Krajetzki, Sv.</t>
  </si>
  <si>
    <t>Krämer, Uw.</t>
  </si>
  <si>
    <t>Kranz, Da.</t>
  </si>
  <si>
    <t>Kratzel, Th.</t>
  </si>
  <si>
    <t>Kratzer, Ju.</t>
  </si>
  <si>
    <t>Krause, Ti.</t>
  </si>
  <si>
    <t>Krause, Pe.</t>
  </si>
  <si>
    <t>Krause, Sv.</t>
  </si>
  <si>
    <t>Krause, He.</t>
  </si>
  <si>
    <t>Kreft, An.</t>
  </si>
  <si>
    <t>Kretzschmar, Jö.</t>
  </si>
  <si>
    <t>Kriedemann, Al.</t>
  </si>
  <si>
    <t>Kriedemann, Si.</t>
  </si>
  <si>
    <t>Kriegbaum, Ra.</t>
  </si>
  <si>
    <t>Krimmling, Ul.</t>
  </si>
  <si>
    <t>Krotofil, Ol.</t>
  </si>
  <si>
    <t>Krüger, Da.</t>
  </si>
  <si>
    <t>Kühl, Ca.</t>
  </si>
  <si>
    <t>Kuhlmann, Fr.</t>
  </si>
  <si>
    <t>Kühne, No.</t>
  </si>
  <si>
    <t>Kularz, Mo.</t>
  </si>
  <si>
    <t>Kulus, Jü.</t>
  </si>
  <si>
    <t>Kumpe, To.</t>
  </si>
  <si>
    <t>Kündiger, Ma.</t>
  </si>
  <si>
    <t>Kuring, Ol.</t>
  </si>
  <si>
    <t>Kurland, Di.</t>
  </si>
  <si>
    <t>Kurz, Lo.</t>
  </si>
  <si>
    <t>Kusche, Ol.</t>
  </si>
  <si>
    <t>verw.eing, adV</t>
  </si>
  <si>
    <t>Kuschke, St.</t>
  </si>
  <si>
    <t>Kvarics, Mi.</t>
  </si>
  <si>
    <t>Labenstein, Pe.</t>
  </si>
  <si>
    <t>Ladkau, Th.</t>
  </si>
  <si>
    <t>Lagemann, Na.</t>
  </si>
  <si>
    <t>Lange, De.</t>
  </si>
  <si>
    <t>Lange, Al.</t>
  </si>
  <si>
    <t>Lange, Ch.</t>
  </si>
  <si>
    <t>Lange, Ha.</t>
  </si>
  <si>
    <t>Lange, Ge.</t>
  </si>
  <si>
    <t>Lange, Sv.</t>
  </si>
  <si>
    <t>Langner, Kl.</t>
  </si>
  <si>
    <t>Langner, Sv.</t>
  </si>
  <si>
    <t>Laskowski, Ol.</t>
  </si>
  <si>
    <t>Lassahn, Ma.</t>
  </si>
  <si>
    <t>Lawrenz, Ge.</t>
  </si>
  <si>
    <t>Lebrun, Ni.</t>
  </si>
  <si>
    <t>Leese, Gu.</t>
  </si>
  <si>
    <t>Leffler, An.</t>
  </si>
  <si>
    <t>Lehmann, Ma.</t>
  </si>
  <si>
    <t>Lehmann, Th.</t>
  </si>
  <si>
    <t>Dir E BVkD St 1 VEZ - B</t>
  </si>
  <si>
    <t>Lehmann, Sa.</t>
  </si>
  <si>
    <t>Lehmann, Lu.</t>
  </si>
  <si>
    <t>Lehnert, Ca.</t>
  </si>
  <si>
    <t>Lehnert, Yv.</t>
  </si>
  <si>
    <t>Lenz, Pa.</t>
  </si>
  <si>
    <t>Lenz, Ma.</t>
  </si>
  <si>
    <t>Leschke, Jö.</t>
  </si>
  <si>
    <t>Leschke, Fr.</t>
  </si>
  <si>
    <t>Levy, Sa.</t>
  </si>
  <si>
    <t>Dir E BVkD 1. BVK</t>
  </si>
  <si>
    <t>Liborius, Al.</t>
  </si>
  <si>
    <t>Licht, Th.</t>
  </si>
  <si>
    <t>Liebenau, In.</t>
  </si>
  <si>
    <t>Liebig, Ho.</t>
  </si>
  <si>
    <t>Liebold, Ta.</t>
  </si>
  <si>
    <t>Lieske, Ha.</t>
  </si>
  <si>
    <t>Lindow, Ul.</t>
  </si>
  <si>
    <t>Lischner, Cl.</t>
  </si>
  <si>
    <t>Loeffler, Jö.</t>
  </si>
  <si>
    <t>Lohse, No.</t>
  </si>
  <si>
    <t>Losansky, Fr.</t>
  </si>
  <si>
    <t>Lowag, An.</t>
  </si>
  <si>
    <t>Dir E BVKD St 1 VEZ</t>
  </si>
  <si>
    <t>Lübeck, An.</t>
  </si>
  <si>
    <t>Lüder, Ol.</t>
  </si>
  <si>
    <t>Ludwig, Ch.</t>
  </si>
  <si>
    <t>Luger, Fa.</t>
  </si>
  <si>
    <t>Lukina, Da.</t>
  </si>
  <si>
    <t>Lünzmann, Ax.</t>
  </si>
  <si>
    <t>Lüthcke, Ch.</t>
  </si>
  <si>
    <t>Lüttke, In.</t>
  </si>
  <si>
    <t>Lütz, St.</t>
  </si>
  <si>
    <t>Mahel, Mi.</t>
  </si>
  <si>
    <t>adV, dkr</t>
  </si>
  <si>
    <t>Maier, Ma.</t>
  </si>
  <si>
    <t>Malecki, Ma.</t>
  </si>
  <si>
    <t>Manigk, Lu.</t>
  </si>
  <si>
    <t>Mann, Ol.</t>
  </si>
  <si>
    <t>Markgraf, St.</t>
  </si>
  <si>
    <t>Markgraf, Ma.</t>
  </si>
  <si>
    <t>Marquardt, He.</t>
  </si>
  <si>
    <t>Maschurek, An.</t>
  </si>
  <si>
    <t>Maselowski, Fr.</t>
  </si>
  <si>
    <t>Matthies, Ja.</t>
  </si>
  <si>
    <t>Mattukat, Uw.</t>
  </si>
  <si>
    <t>Maurer, Fr.</t>
  </si>
  <si>
    <t>May, Ch.</t>
  </si>
  <si>
    <t>Mayer, Th.</t>
  </si>
  <si>
    <t>Mayer, Re.</t>
  </si>
  <si>
    <t>Mayer, Ch.</t>
  </si>
  <si>
    <t>Mayer, In.</t>
  </si>
  <si>
    <t>Mazur, Sv.</t>
  </si>
  <si>
    <t>Medefindt, Sv.</t>
  </si>
  <si>
    <t>Meinelt, Ka.</t>
  </si>
  <si>
    <t>Meiners, Sv.</t>
  </si>
  <si>
    <t>Meinhold, Ka.</t>
  </si>
  <si>
    <t>Meirer, Ma.</t>
  </si>
  <si>
    <t>Meißner, Ma.</t>
  </si>
  <si>
    <t>Meißner, Ro.</t>
  </si>
  <si>
    <t>Merkel, St.</t>
  </si>
  <si>
    <t>Michaelis, Ka.</t>
  </si>
  <si>
    <t>Mielke, Ge.</t>
  </si>
  <si>
    <t>Miethe, Mi.</t>
  </si>
  <si>
    <t>Milk, Gü.</t>
  </si>
  <si>
    <t>Mischorr, He.</t>
  </si>
  <si>
    <t>Mistelsky, Be.</t>
  </si>
  <si>
    <t>Mocanu, Do.</t>
  </si>
  <si>
    <t>Möller, St.</t>
  </si>
  <si>
    <t>Möller, Th.</t>
  </si>
  <si>
    <t>Morgenstern, Ta.</t>
  </si>
  <si>
    <t>Muchow, Sv.</t>
  </si>
  <si>
    <t>Mühling, Uw.</t>
  </si>
  <si>
    <t>Mulack, Fr.</t>
  </si>
  <si>
    <t>Müller, Th.</t>
  </si>
  <si>
    <t>Müller, In.</t>
  </si>
  <si>
    <t>Müller, Si.</t>
  </si>
  <si>
    <t>Muszkieta, St.</t>
  </si>
  <si>
    <t>Muths, Sa.</t>
  </si>
  <si>
    <t>MuSchVO</t>
  </si>
  <si>
    <t>Nacke, Ol.</t>
  </si>
  <si>
    <t>Naujock, Mo.</t>
  </si>
  <si>
    <t>Neitzel, To.</t>
  </si>
  <si>
    <t>Nemoto, Sa.</t>
  </si>
  <si>
    <t>Neuer, Ni.</t>
  </si>
  <si>
    <t>Neumann, Di.</t>
  </si>
  <si>
    <t>Nickel, Ba.</t>
  </si>
  <si>
    <t>Dir E BVkD 3. BVK 02</t>
  </si>
  <si>
    <t>Nicorescu, Ma.</t>
  </si>
  <si>
    <t>Niemann, Ma.</t>
  </si>
  <si>
    <t>Niemann, Me.</t>
  </si>
  <si>
    <t>Niethammer, Co.</t>
  </si>
  <si>
    <t>Nitsche, Vo.</t>
  </si>
  <si>
    <t>Nitz, Wo.</t>
  </si>
  <si>
    <t>Noack, Se.</t>
  </si>
  <si>
    <t>Noack, Si.</t>
  </si>
  <si>
    <t>Noack, Wo.</t>
  </si>
  <si>
    <t>Noeske, Ph.</t>
  </si>
  <si>
    <t>Nullet, Lu.</t>
  </si>
  <si>
    <t>Obst, Pe.</t>
  </si>
  <si>
    <t>Oder, Sa.</t>
  </si>
  <si>
    <t>Ogrowsky, Mi.</t>
  </si>
  <si>
    <t>Ohl, Re.</t>
  </si>
  <si>
    <t>Oldenburg, Fr.</t>
  </si>
  <si>
    <t>Ollrogge, Ma.</t>
  </si>
  <si>
    <t>Olsson, Ka.</t>
  </si>
  <si>
    <t>Opitz, An.</t>
  </si>
  <si>
    <t>Osterwinter, Ol.</t>
  </si>
  <si>
    <t>Otto, Pe.</t>
  </si>
  <si>
    <t>Paczewitz, An.</t>
  </si>
  <si>
    <t>Pade, Gu.</t>
  </si>
  <si>
    <t>Paggel, He.</t>
  </si>
  <si>
    <t>Palta, Re.</t>
  </si>
  <si>
    <t>Papadea, Ol.</t>
  </si>
  <si>
    <t>Papenfoth-Neumann, Ja.</t>
  </si>
  <si>
    <t>Pawlowitz, St.</t>
  </si>
  <si>
    <t>Pehlivan, Fa.</t>
  </si>
  <si>
    <t>Pein, Mi.</t>
  </si>
  <si>
    <t>Peters, Na.</t>
  </si>
  <si>
    <t>Pfandke, Ka.</t>
  </si>
  <si>
    <t>Pfeiffer, Ch.</t>
  </si>
  <si>
    <t>Pichotta, Jo.</t>
  </si>
  <si>
    <t>Pingel, An.</t>
  </si>
  <si>
    <t>Pirch, Ma.</t>
  </si>
  <si>
    <t>Pitzschel, De.</t>
  </si>
  <si>
    <t>Plötscher, Ph.</t>
  </si>
  <si>
    <t>Plümecke, Ax.</t>
  </si>
  <si>
    <t>Poch, Ma.</t>
  </si>
  <si>
    <t>Pohl, Mi.</t>
  </si>
  <si>
    <t>Polzehl, Ol.</t>
  </si>
  <si>
    <t>Poser, Fl.</t>
  </si>
  <si>
    <t>Pötsch, An.</t>
  </si>
  <si>
    <t>Powelz, St.</t>
  </si>
  <si>
    <t>Praetorius, Sv.</t>
  </si>
  <si>
    <t>Prahl, Ka.</t>
  </si>
  <si>
    <t>Preissler, Ma.</t>
  </si>
  <si>
    <t>Prestel, To.</t>
  </si>
  <si>
    <t>Priebe, Ka.</t>
  </si>
  <si>
    <t>Priske, Er.</t>
  </si>
  <si>
    <t>Quiatkowski, Mi.</t>
  </si>
  <si>
    <t>Radloff, Ra.</t>
  </si>
  <si>
    <t>Rast, Re.</t>
  </si>
  <si>
    <t>Ratajczak, Sv.</t>
  </si>
  <si>
    <t>Rath, Mi.</t>
  </si>
  <si>
    <t>Rauhut, Ha.</t>
  </si>
  <si>
    <t>Rebmann, Je.</t>
  </si>
  <si>
    <t>Regh, Ni.</t>
  </si>
  <si>
    <t>Reh, Jo.</t>
  </si>
  <si>
    <t>Rehberg, Th.</t>
  </si>
  <si>
    <t>Reichenberger, Sa.</t>
  </si>
  <si>
    <t>Reimann, Sv.</t>
  </si>
  <si>
    <t>Rentzsch, Di.</t>
  </si>
  <si>
    <t>Richter, Ro.</t>
  </si>
  <si>
    <t>Richter, Jö.</t>
  </si>
  <si>
    <t>Richter, Ma.</t>
  </si>
  <si>
    <t>Rieckhoff, An.</t>
  </si>
  <si>
    <t>Rieger, Ha.</t>
  </si>
  <si>
    <t>Riemer, An.</t>
  </si>
  <si>
    <t>Dir E BVKD St 1 VEZ - A</t>
  </si>
  <si>
    <t>Rietz, Ar.</t>
  </si>
  <si>
    <t>Ritter, Ch.</t>
  </si>
  <si>
    <t>TZ, dkr</t>
  </si>
  <si>
    <t>Roestel, Uw.</t>
  </si>
  <si>
    <t>Rohde-Noß, Ve.</t>
  </si>
  <si>
    <t>Rohn, Mi.</t>
  </si>
  <si>
    <t>Rosenblender, Ra.</t>
  </si>
  <si>
    <t>Rosenhahn, Ma.</t>
  </si>
  <si>
    <t>Rösler, St.</t>
  </si>
  <si>
    <t>Rückert, Ja.</t>
  </si>
  <si>
    <t>Rudolf, Ma.</t>
  </si>
  <si>
    <t>Sachert, Sv.</t>
  </si>
  <si>
    <t>Sahner, Jö.</t>
  </si>
  <si>
    <t>Salzmann, Ma.</t>
  </si>
  <si>
    <t>Sangerhausen, Th.</t>
  </si>
  <si>
    <t>Saß, Pe.</t>
  </si>
  <si>
    <t>Sauter, De.</t>
  </si>
  <si>
    <t>Schacht, Pi.</t>
  </si>
  <si>
    <t>Schäfer, Th.</t>
  </si>
  <si>
    <t>Scharein, Ha.</t>
  </si>
  <si>
    <t>Schauer, Mi.</t>
  </si>
  <si>
    <t>Schebel, Mo.</t>
  </si>
  <si>
    <t>Scheel, Ol.</t>
  </si>
  <si>
    <t>Schemel, Kl.</t>
  </si>
  <si>
    <t>Schenk, St.</t>
  </si>
  <si>
    <t>Schenk, Do.</t>
  </si>
  <si>
    <t>Scherlipp, Si.</t>
  </si>
  <si>
    <t>Scherwitz, Ro.</t>
  </si>
  <si>
    <t>Schiebe, Ma.</t>
  </si>
  <si>
    <t>Schier-Petermann, Ma.</t>
  </si>
  <si>
    <t>Dir E BVkD 2. BVK 02</t>
  </si>
  <si>
    <t>Schiffler, Ma.</t>
  </si>
  <si>
    <t>Schimmelpfennig, Ul.</t>
  </si>
  <si>
    <t>Schippolowski, Ma.</t>
  </si>
  <si>
    <t>Schischke, Ka.</t>
  </si>
  <si>
    <t>Schlichting, Ka.</t>
  </si>
  <si>
    <t>Schlosser, Pe.</t>
  </si>
  <si>
    <t>Schlücker, Pi.</t>
  </si>
  <si>
    <t>Schlüter, Ro.</t>
  </si>
  <si>
    <t>Schmekel, Ch.</t>
  </si>
  <si>
    <t>Schmidt, La.</t>
  </si>
  <si>
    <t>Schmidt, Ax.</t>
  </si>
  <si>
    <t>Schmidt, St.</t>
  </si>
  <si>
    <t>Schmidt, Re.</t>
  </si>
  <si>
    <t>Schmidt, Ge.</t>
  </si>
  <si>
    <t>Schmidt-Berger, Ch.</t>
  </si>
  <si>
    <t>Schneider, Di.</t>
  </si>
  <si>
    <t>Schneider, To.</t>
  </si>
  <si>
    <t>Schneider, Kl.</t>
  </si>
  <si>
    <t>Schnepf, Ka.</t>
  </si>
  <si>
    <t>Schobranski, Fa.</t>
  </si>
  <si>
    <t>Schoeps, An.</t>
  </si>
  <si>
    <t>Scholtz, Ax.</t>
  </si>
  <si>
    <t>Schömann, Di.</t>
  </si>
  <si>
    <t>Schommer, Hi.</t>
  </si>
  <si>
    <t>Schönbeck, Pe.</t>
  </si>
  <si>
    <t>Schönberg, Sa.</t>
  </si>
  <si>
    <t>Schönborn, St.</t>
  </si>
  <si>
    <t>Schönfeld, Fr.</t>
  </si>
  <si>
    <t>Schönherr, Si.</t>
  </si>
  <si>
    <t>Schönhoff, Ch.</t>
  </si>
  <si>
    <t>Schramm, Ol.</t>
  </si>
  <si>
    <t>Schreiber, To.</t>
  </si>
  <si>
    <t>Schreyer, Th.</t>
  </si>
  <si>
    <t>Schröder, Ma.</t>
  </si>
  <si>
    <t>Schröder, Mi.</t>
  </si>
  <si>
    <t>Schubert, Ch.</t>
  </si>
  <si>
    <t>Schubert, To.</t>
  </si>
  <si>
    <t>Schulz, Eb.</t>
  </si>
  <si>
    <t>Schulz, Ha.</t>
  </si>
  <si>
    <t>Schulze, Fr.</t>
  </si>
  <si>
    <t>Schumacher, Ra.</t>
  </si>
  <si>
    <t>Schure, Bi.</t>
  </si>
  <si>
    <t>Schwabe, An.</t>
  </si>
  <si>
    <t>Schwager, He.</t>
  </si>
  <si>
    <t>Schwarze, To.</t>
  </si>
  <si>
    <t>Schwips, An.</t>
  </si>
  <si>
    <t>Seidel, Ke.</t>
  </si>
  <si>
    <t>Seidlitz, He.</t>
  </si>
  <si>
    <t>Seifert, Ut.</t>
  </si>
  <si>
    <t>Sindermann, Ge.</t>
  </si>
  <si>
    <t>Sommer, Th.</t>
  </si>
  <si>
    <t>Sommerfeld, Ka.</t>
  </si>
  <si>
    <t>Sonnemann, Ol.</t>
  </si>
  <si>
    <t>Sonnenburg, An.</t>
  </si>
  <si>
    <t>Speidel, An.</t>
  </si>
  <si>
    <t>Stach, Ra.</t>
  </si>
  <si>
    <t>Stahl, Mi.</t>
  </si>
  <si>
    <t>Standke, Uv.</t>
  </si>
  <si>
    <t>Stankiewicz, De.</t>
  </si>
  <si>
    <t>Stapel, Ti.</t>
  </si>
  <si>
    <t>Staudemeyer, De.</t>
  </si>
  <si>
    <t>Stein, Da.</t>
  </si>
  <si>
    <t>Steinke, Mi.</t>
  </si>
  <si>
    <t>Dir E BVkD St 32</t>
  </si>
  <si>
    <t>Stelzer, Fa.</t>
  </si>
  <si>
    <t>Stiller, Ka.</t>
  </si>
  <si>
    <t>Dir E BVkD 5. BVK 02</t>
  </si>
  <si>
    <t>Strenge, Ma.</t>
  </si>
  <si>
    <t>Striedinger, Fr.</t>
  </si>
  <si>
    <t>Striehn, Ro.</t>
  </si>
  <si>
    <t>Strußenberg, Mi.</t>
  </si>
  <si>
    <t>Stückl, Th.</t>
  </si>
  <si>
    <t>Stuve, Je.</t>
  </si>
  <si>
    <t>Subic, Ba.</t>
  </si>
  <si>
    <t>Suckow, An.</t>
  </si>
  <si>
    <t>Talke, Je.</t>
  </si>
  <si>
    <t>Tänzler, Vo.</t>
  </si>
  <si>
    <t>Teich, De.</t>
  </si>
  <si>
    <t>Teichert, An.</t>
  </si>
  <si>
    <t>Theil, Ro.</t>
  </si>
  <si>
    <t>Thesenvitz, St.</t>
  </si>
  <si>
    <t>Thévoz, Ho.</t>
  </si>
  <si>
    <t>Thiel, Ro.</t>
  </si>
  <si>
    <t>Thiele, Ta.</t>
  </si>
  <si>
    <t>Thomas, Wo.</t>
  </si>
  <si>
    <t>Timm, Da.</t>
  </si>
  <si>
    <t>Timptner, Ra.</t>
  </si>
  <si>
    <t>Tittel, Di.</t>
  </si>
  <si>
    <t>Todtenhaupt, Ho.</t>
  </si>
  <si>
    <t>Tokarski, Pe.</t>
  </si>
  <si>
    <t>Tondorf, An.</t>
  </si>
  <si>
    <t>Töwe, Ge.</t>
  </si>
  <si>
    <t>Traeger, Th.</t>
  </si>
  <si>
    <t>Treptow, St.</t>
  </si>
  <si>
    <t>Trinkaus, Ja.</t>
  </si>
  <si>
    <t>Tscheuschner, Il.</t>
  </si>
  <si>
    <t>Ullrich, Mi.</t>
  </si>
  <si>
    <t>van Stegen, Ma.</t>
  </si>
  <si>
    <t>Vanselow, Mi.</t>
  </si>
  <si>
    <t>Victor, Th.</t>
  </si>
  <si>
    <t>Vogel, An.</t>
  </si>
  <si>
    <t>Voß, He.</t>
  </si>
  <si>
    <t>Waesche, Ma.</t>
  </si>
  <si>
    <t>Wagner, No.</t>
  </si>
  <si>
    <t>Wagner, Ma.</t>
  </si>
  <si>
    <t>Waldenburg, Di.</t>
  </si>
  <si>
    <t>Walischefski, Ju.</t>
  </si>
  <si>
    <t>Walter, Fr.</t>
  </si>
  <si>
    <t>Wälzer, Ol.</t>
  </si>
  <si>
    <t>Wandrey, Di.</t>
  </si>
  <si>
    <t>Warzecha, Ol.</t>
  </si>
  <si>
    <t>Weber, Ca.</t>
  </si>
  <si>
    <t>Wegener, Mi.</t>
  </si>
  <si>
    <t>Dir E BVkD 4. BVK 02</t>
  </si>
  <si>
    <t>Wegner, Fr.</t>
  </si>
  <si>
    <t>Weichert, Ja.</t>
  </si>
  <si>
    <t>Weiland, Lu.</t>
  </si>
  <si>
    <t>Weiß, Th.</t>
  </si>
  <si>
    <t>Weiß, Ho.</t>
  </si>
  <si>
    <t>Weißbrodt, Ja.</t>
  </si>
  <si>
    <t>Wende, Th.</t>
  </si>
  <si>
    <t>Wendland, De.</t>
  </si>
  <si>
    <t>Wendt, Jö.</t>
  </si>
  <si>
    <t>Wenner, Jö.</t>
  </si>
  <si>
    <t>Wepner, Ol.</t>
  </si>
  <si>
    <t>Werner, Ol.</t>
  </si>
  <si>
    <t>Wernicke, Ma.</t>
  </si>
  <si>
    <t>Werschky, Ma.</t>
  </si>
  <si>
    <t>Werth, An.</t>
  </si>
  <si>
    <t>Weschke, Ol.</t>
  </si>
  <si>
    <t>Wiedfeld, Mi.</t>
  </si>
  <si>
    <t>Wieland, Ra.</t>
  </si>
  <si>
    <t>Wiele, Ma.</t>
  </si>
  <si>
    <t>Wilde, Pa.</t>
  </si>
  <si>
    <t>Winckler, Ka.</t>
  </si>
  <si>
    <t>Winkler, An.</t>
  </si>
  <si>
    <t>Wischnewski, Be.</t>
  </si>
  <si>
    <t>Witschel, Lu.</t>
  </si>
  <si>
    <t>Witthuhn, An.</t>
  </si>
  <si>
    <t>Wittka, Sa.</t>
  </si>
  <si>
    <t>Wohlgemuth, Wo.</t>
  </si>
  <si>
    <t>Wolf, Fr.</t>
  </si>
  <si>
    <t>Wolf, Lu.</t>
  </si>
  <si>
    <t>Wolfram, Hi.</t>
  </si>
  <si>
    <t>Wölk, Di.</t>
  </si>
  <si>
    <t>Wollnik, Da.</t>
  </si>
  <si>
    <t>Wollny, De.</t>
  </si>
  <si>
    <t>Wolter, Ma.</t>
  </si>
  <si>
    <t>Woyda, Ho.</t>
  </si>
  <si>
    <t>Wurl, Al.</t>
  </si>
  <si>
    <t>Würschmidt, Ma.</t>
  </si>
  <si>
    <t>Zacharias, Jö.</t>
  </si>
  <si>
    <t>Zagorni, St.</t>
  </si>
  <si>
    <t>Zeh, Ma.</t>
  </si>
  <si>
    <t>Zehnpfennig, Ch.</t>
  </si>
  <si>
    <t>Zeltner, Me.</t>
  </si>
  <si>
    <t>Zielatkiewicz, Ch.</t>
  </si>
  <si>
    <t>Zimmer, Lo.</t>
  </si>
  <si>
    <t>Zimmermann, Jü.</t>
  </si>
  <si>
    <t>Zink, To.</t>
  </si>
  <si>
    <t>Zlobinski, Ma.</t>
  </si>
  <si>
    <t>Zoerner, An.</t>
  </si>
  <si>
    <t>Zolchow, An.</t>
  </si>
  <si>
    <t>Zurek, St.</t>
  </si>
  <si>
    <t>Zwetschke, Ma.</t>
  </si>
  <si>
    <t>BEDNASZ, MI.</t>
  </si>
  <si>
    <t>BELLING, JU.</t>
  </si>
  <si>
    <t>BERENSMANN, CH.</t>
  </si>
  <si>
    <t>BERNER, HE.</t>
  </si>
  <si>
    <t>BIENST, GA.</t>
  </si>
  <si>
    <t>BLOCK, JU.</t>
  </si>
  <si>
    <t>BLUME, CA.</t>
  </si>
  <si>
    <t>BOLDT, AL.</t>
  </si>
  <si>
    <t>BOLZ, CH.</t>
  </si>
  <si>
    <t>BOMBALL, RA.</t>
  </si>
  <si>
    <t>BRANDENBURGER, CO.</t>
  </si>
  <si>
    <t>BREUING, TA.</t>
  </si>
  <si>
    <t>BUBKE, ST.</t>
  </si>
  <si>
    <t>DAHLKE, MA.</t>
  </si>
  <si>
    <t>DORECKI, CO.</t>
  </si>
  <si>
    <t>DÖRFEL, PE.</t>
  </si>
  <si>
    <t>EBERHARDT, MI.</t>
  </si>
  <si>
    <t>ENGELHARDT, IR.</t>
  </si>
  <si>
    <t>ENGELHARDT, SV.</t>
  </si>
  <si>
    <t>FRANKE, SV.</t>
  </si>
  <si>
    <t>FRANZ, DA.</t>
  </si>
  <si>
    <t>FRITZSCHE, CH.</t>
  </si>
  <si>
    <t>GAJEWSKI, LA.</t>
  </si>
  <si>
    <t>GEBAUER, MA.</t>
  </si>
  <si>
    <t>GEBHARDT, SI.</t>
  </si>
  <si>
    <t>GESCHKE, MI.</t>
  </si>
  <si>
    <t>GOLDGREBE, HE.</t>
  </si>
  <si>
    <t>GUTHJAHR, GE.</t>
  </si>
  <si>
    <t>HAHN, MA.</t>
  </si>
  <si>
    <t>HAMPEL, DE.</t>
  </si>
  <si>
    <t>HAUBENREIßER, YV.</t>
  </si>
  <si>
    <t>HECHT-QUARG, TH.</t>
  </si>
  <si>
    <t>HEINZIG, JA.</t>
  </si>
  <si>
    <t>HEROLD, RA.</t>
  </si>
  <si>
    <t>HEß, NI.</t>
  </si>
  <si>
    <t>HIRSCHMANN, RA.</t>
  </si>
  <si>
    <t>HOWALDT, AN.</t>
  </si>
  <si>
    <t>INGBER, KL.</t>
  </si>
  <si>
    <t>JACKISCH, MI.</t>
  </si>
  <si>
    <t>JAECK, GE.</t>
  </si>
  <si>
    <t>JENTZSCH, DA.</t>
  </si>
  <si>
    <t>JOBST, PE.</t>
  </si>
  <si>
    <t>JOHN, AL.</t>
  </si>
  <si>
    <t>JUNGMANN, RA.</t>
  </si>
  <si>
    <t>KAISER, DA.</t>
  </si>
  <si>
    <t>KATIC, OL.</t>
  </si>
  <si>
    <t>KELLER, KA.</t>
  </si>
  <si>
    <t>KERWITZ, CI.</t>
  </si>
  <si>
    <t>KLEINE-BENNE, CA.</t>
  </si>
  <si>
    <t>KLIMT, GÜ.</t>
  </si>
  <si>
    <t>KLÜCKMANN, KA.</t>
  </si>
  <si>
    <t>KNÄPPER, TH.</t>
  </si>
  <si>
    <t>KOLEBKA, DE.</t>
  </si>
  <si>
    <t>KOLOTZEI, TO.</t>
  </si>
  <si>
    <t>KOPYDLOWSKI, MA.</t>
  </si>
  <si>
    <t>KÖRNER, VO.</t>
  </si>
  <si>
    <t>KREIL, OL.</t>
  </si>
  <si>
    <t>KRUSCHKE, EG.</t>
  </si>
  <si>
    <t>KUCHENBECKER, MA.</t>
  </si>
  <si>
    <t>KUHN, BE.</t>
  </si>
  <si>
    <t>KUNST, MI.</t>
  </si>
  <si>
    <t>LAASCH, SU.</t>
  </si>
  <si>
    <t>LANGE, MY.</t>
  </si>
  <si>
    <t>LANGER, MA.</t>
  </si>
  <si>
    <t>LEIPERT, JÖ.</t>
  </si>
  <si>
    <t>LIEBE, RE.</t>
  </si>
  <si>
    <t>LUCKWALDT, OL.</t>
  </si>
  <si>
    <t>MAKAI, SU.</t>
  </si>
  <si>
    <t>MAKAI, JA.</t>
  </si>
  <si>
    <t>MARQUARDT, BI.</t>
  </si>
  <si>
    <t>MARTIN, PA.</t>
  </si>
  <si>
    <t>MATYLIS, ST.</t>
  </si>
  <si>
    <t>MEINHOLD, DA.</t>
  </si>
  <si>
    <t>METZGER, DO.</t>
  </si>
  <si>
    <t>MEYER, VE.</t>
  </si>
  <si>
    <t>MROSEK, MI.</t>
  </si>
  <si>
    <t>MÜLLER, MA.</t>
  </si>
  <si>
    <t>MÜLLER, AR.</t>
  </si>
  <si>
    <t>NAJDA, TH.</t>
  </si>
  <si>
    <t>PAASCH, TH.</t>
  </si>
  <si>
    <t>PALENGA, FR.</t>
  </si>
  <si>
    <t>PETERMANN, HE.</t>
  </si>
  <si>
    <t>PETERSEN, HO.</t>
  </si>
  <si>
    <t>PLAMANN, NA.</t>
  </si>
  <si>
    <t>PLIER, CO.</t>
  </si>
  <si>
    <t>PROETEL, TH.</t>
  </si>
  <si>
    <t>PRÜFROCK, LI.</t>
  </si>
  <si>
    <t>PUJO, MA.</t>
  </si>
  <si>
    <t>QUICK, CH.</t>
  </si>
  <si>
    <t>RAMIN, FR.</t>
  </si>
  <si>
    <t>RECHENBERG, RE.</t>
  </si>
  <si>
    <t>REHFELD, BE.</t>
  </si>
  <si>
    <t>REINERT, AX.</t>
  </si>
  <si>
    <t>RESCHKE, TI.</t>
  </si>
  <si>
    <t>REUTER, HA.</t>
  </si>
  <si>
    <t>RICHTER, FE.</t>
  </si>
  <si>
    <t>RIEDEL, OL.</t>
  </si>
  <si>
    <t>RISSMANN, AS.</t>
  </si>
  <si>
    <t>ROSENAU, AN.</t>
  </si>
  <si>
    <t>ROSENPLENTER, SI.</t>
  </si>
  <si>
    <t>SANDER, MI.</t>
  </si>
  <si>
    <t>SCHERWITZ, AN.</t>
  </si>
  <si>
    <t>SCHILDENER, MI.</t>
  </si>
  <si>
    <t>SCHLEUßNER, ST.</t>
  </si>
  <si>
    <t>SCHMIDT, ST.</t>
  </si>
  <si>
    <t>SCHMIDT, RO.</t>
  </si>
  <si>
    <t>SCHOBERT, JA.</t>
  </si>
  <si>
    <t>SCHÖLDGEN, IN.</t>
  </si>
  <si>
    <t>SCHRAGL, MA.</t>
  </si>
  <si>
    <t>SCHRÖDER, RA.</t>
  </si>
  <si>
    <t>SCHUBERT, TH.</t>
  </si>
  <si>
    <t>SIEBERT, CH.</t>
  </si>
  <si>
    <t>SKROK, BJ.</t>
  </si>
  <si>
    <t>STEINMETZ, BR.</t>
  </si>
  <si>
    <t>STRAHL, MA.</t>
  </si>
  <si>
    <t>STUFF, HE.</t>
  </si>
  <si>
    <t>THALHEIM, JA.</t>
  </si>
  <si>
    <t>THUM, MA.</t>
  </si>
  <si>
    <t>TIETZE, PA.</t>
  </si>
  <si>
    <t>TRAMBURG, TO.</t>
  </si>
  <si>
    <t>TSCHERNAWIN, AL.</t>
  </si>
  <si>
    <t>UEBERALL, AN.</t>
  </si>
  <si>
    <t>UNGER, CA.</t>
  </si>
  <si>
    <t>VAHL-KALINKA, JE.</t>
  </si>
  <si>
    <t>VOITH, OL.</t>
  </si>
  <si>
    <t>WASSERLEIN, MI.</t>
  </si>
  <si>
    <t>WEGENER, DE.</t>
  </si>
  <si>
    <t>WERDA, KR.</t>
  </si>
  <si>
    <t>WERNER, MI.</t>
  </si>
  <si>
    <t>WIESE, NA.</t>
  </si>
  <si>
    <t>WILLE, TH.</t>
  </si>
  <si>
    <t>WILLIG, AN.</t>
  </si>
  <si>
    <t>WIMMER, CL.</t>
  </si>
  <si>
    <t>WOCHNICK, WE.</t>
  </si>
  <si>
    <t>WODE, UW.</t>
  </si>
  <si>
    <t>WOLTER, BE.</t>
  </si>
  <si>
    <t>WÖRPEL, MI.</t>
  </si>
  <si>
    <t>YANKIN, AL.</t>
  </si>
  <si>
    <t>ZIMMERMANN, RO.</t>
  </si>
  <si>
    <t>ZINK, BE.</t>
  </si>
  <si>
    <t>Albin, Da.</t>
  </si>
  <si>
    <t>Dir E ET 2</t>
  </si>
  <si>
    <t>Banfi, Ro.</t>
  </si>
  <si>
    <t>Dir E ET 1</t>
  </si>
  <si>
    <t>Bergemann, Ki.</t>
  </si>
  <si>
    <t>Edler, Ha.</t>
  </si>
  <si>
    <t>Dir E ET 3</t>
  </si>
  <si>
    <t>Elsner, Gr.</t>
  </si>
  <si>
    <t>Peltor III</t>
  </si>
  <si>
    <t>Feig, Mi.</t>
  </si>
  <si>
    <t>abo SE Pers</t>
  </si>
  <si>
    <t>Fischer, Uw.</t>
  </si>
  <si>
    <t>Gaedtke, Ma.</t>
  </si>
  <si>
    <t>Gentsch, Mi.</t>
  </si>
  <si>
    <t>Glas, Jü.</t>
  </si>
  <si>
    <t>Globisch, Ac.</t>
  </si>
  <si>
    <t>Gora, Da.</t>
  </si>
  <si>
    <t>Große, Ch.</t>
  </si>
  <si>
    <t>Gusko, Mi.</t>
  </si>
  <si>
    <t>Hildebrandt, An.</t>
  </si>
  <si>
    <t>Holstein, Eb.</t>
  </si>
  <si>
    <t>Hübner, Wo.</t>
  </si>
  <si>
    <t>Audio</t>
  </si>
  <si>
    <t>Kirchner, Ch.</t>
  </si>
  <si>
    <t>Koba, Ma.</t>
  </si>
  <si>
    <t>Lehmann, Ra.</t>
  </si>
  <si>
    <t>Lorenz, Sv.</t>
  </si>
  <si>
    <t>Lorenzen, Di.</t>
  </si>
  <si>
    <t>Mans, Ro.</t>
  </si>
  <si>
    <t>Meyer-Gomolka, Th.</t>
  </si>
  <si>
    <t>Mückenheim, Sv.</t>
  </si>
  <si>
    <t>Mund, Pe.</t>
  </si>
  <si>
    <t>Perlitt, An.</t>
  </si>
  <si>
    <t>Dauerkrank, Peltor III</t>
  </si>
  <si>
    <t>Pischkal, Ma.</t>
  </si>
  <si>
    <t>Proske, Uw.</t>
  </si>
  <si>
    <t>Radke, Ma.</t>
  </si>
  <si>
    <t>Raschke, An.</t>
  </si>
  <si>
    <t>Rohde, Th.</t>
  </si>
  <si>
    <t>Schild, Ra.</t>
  </si>
  <si>
    <t>Schottstädt, Th.</t>
  </si>
  <si>
    <t>Dauerkrank seit 16.03.15</t>
  </si>
  <si>
    <t>Schulz, Ja.</t>
  </si>
  <si>
    <t>Schumann, Re.</t>
  </si>
  <si>
    <t>Troschke, Ge.</t>
  </si>
  <si>
    <t>Wiedenhöft, Ro.</t>
  </si>
  <si>
    <t>Zuch, An.</t>
  </si>
  <si>
    <t>Wulff, Si.</t>
  </si>
  <si>
    <t xml:space="preserve">Dir E </t>
  </si>
  <si>
    <t>Bringezu, St.</t>
  </si>
  <si>
    <t>Dir E AG Anschlag</t>
  </si>
  <si>
    <t>Braun, Da.</t>
  </si>
  <si>
    <t>Engelhardt, He.</t>
  </si>
  <si>
    <t>(LZ 14 FüGr)</t>
  </si>
  <si>
    <t>Jordan, Ma.</t>
  </si>
  <si>
    <t>dv bis 02.04.19</t>
  </si>
  <si>
    <t>Schroth, Je.</t>
  </si>
  <si>
    <t xml:space="preserve">Dir E AG Anschlag </t>
  </si>
  <si>
    <t>dV 19.04.18 - 31.01.19</t>
  </si>
  <si>
    <t>Ernst, Th.</t>
  </si>
  <si>
    <t>Dir E IFSV</t>
  </si>
  <si>
    <t>Wuttig, Jö.</t>
  </si>
  <si>
    <t>seit 12.01.19: Dir 5</t>
  </si>
  <si>
    <t>Lieben, Me.</t>
  </si>
  <si>
    <t>Dir E St 114</t>
  </si>
  <si>
    <t>John, Ma.</t>
  </si>
  <si>
    <t>Dir E St 11</t>
  </si>
  <si>
    <t>Kühner, Be.</t>
  </si>
  <si>
    <t>dV seit 07.01.2019</t>
  </si>
  <si>
    <t>Engel, Lu.</t>
  </si>
  <si>
    <t>Dir E St 111</t>
  </si>
  <si>
    <t>Minnemann, Jü.</t>
  </si>
  <si>
    <t>Köhn, He.</t>
  </si>
  <si>
    <t>Dir E Gef 1/Te - B/4</t>
  </si>
  <si>
    <t>Kolbe, Th.</t>
  </si>
  <si>
    <t>Dir E Gef 1</t>
  </si>
  <si>
    <t>adV PPr SE D 13</t>
  </si>
  <si>
    <t>Kolinsky, To.</t>
  </si>
  <si>
    <t>Dir E Gef 1/Te TSD A/D</t>
  </si>
  <si>
    <t>Kollenbrandt, Pe.</t>
  </si>
  <si>
    <t>Dir E Gef 1/SW - C/4</t>
  </si>
  <si>
    <t>Kolodziej, Do.</t>
  </si>
  <si>
    <t>Köppen, Be.</t>
  </si>
  <si>
    <t>Dir E Gef 1/City - B/4</t>
  </si>
  <si>
    <t>Koreytek, Pe.</t>
  </si>
  <si>
    <t>Dir E Gef 1/Te - C/4</t>
  </si>
  <si>
    <t>Korinth, Th.</t>
  </si>
  <si>
    <t>Kornow, Da.</t>
  </si>
  <si>
    <t>Korte, Ke.</t>
  </si>
  <si>
    <t>Dir E Gef 1/Te - A/4</t>
  </si>
  <si>
    <t>Kosanke, No.</t>
  </si>
  <si>
    <t>Koslowski, Pe.</t>
  </si>
  <si>
    <t>Kößler, Ha.</t>
  </si>
  <si>
    <t>Dir E Gef 1/W - B/4</t>
  </si>
  <si>
    <t>Koszudowski, Ol.</t>
  </si>
  <si>
    <t>Dir E Gef 1/Te - D/4</t>
  </si>
  <si>
    <t>Koyun, Ha.</t>
  </si>
  <si>
    <t>Dir E  Gef 1/ City C/4</t>
  </si>
  <si>
    <t>Kral, Ev.</t>
  </si>
  <si>
    <t>Kramer, Mi.</t>
  </si>
  <si>
    <t>Krannich, An.</t>
  </si>
  <si>
    <t xml:space="preserve">Dir E Gef 1/City - D/4 </t>
  </si>
  <si>
    <t>Krause, An.</t>
  </si>
  <si>
    <t>Dir E Gef 1/City - D/4</t>
  </si>
  <si>
    <t>Krause, Mi.</t>
  </si>
  <si>
    <t>Krauser, Ge.</t>
  </si>
  <si>
    <t>Kraut, Ma.</t>
  </si>
  <si>
    <t>Dir E Gef1/Te - B/4</t>
  </si>
  <si>
    <t>Krauzick, Ro.</t>
  </si>
  <si>
    <t>Dir E Gef 1/TE - A/4</t>
  </si>
  <si>
    <t>Krebs, Mi.</t>
  </si>
  <si>
    <t>Dir E Gef 1/City A-4</t>
  </si>
  <si>
    <t>Kretzschmar, Mi.</t>
  </si>
  <si>
    <t>Dir E Gef 1/Te - B/C</t>
  </si>
  <si>
    <t>Krmpotic, Fr.</t>
  </si>
  <si>
    <t>Krüger , Sa.</t>
  </si>
  <si>
    <t>adV LKA KTI 56/Waffentrageverbot</t>
  </si>
  <si>
    <t>Kruggel, Ma.</t>
  </si>
  <si>
    <t>Dir E Gef 1/SW - B/4</t>
  </si>
  <si>
    <t>dauerkrank</t>
  </si>
  <si>
    <t>Krulik, Mi.</t>
  </si>
  <si>
    <t>Krusch, Fr.</t>
  </si>
  <si>
    <t>Kubaseck, Ka.</t>
  </si>
  <si>
    <t>Dir E Gef 01/11</t>
  </si>
  <si>
    <t>Kuch, Re.</t>
  </si>
  <si>
    <t>Kühn, Fr.</t>
  </si>
  <si>
    <t>Dir E Gef 3</t>
  </si>
  <si>
    <t>Kulich, Fl.</t>
  </si>
  <si>
    <t>Dir E Gef 1/City - C/4</t>
  </si>
  <si>
    <t>Kunze, Kl.</t>
  </si>
  <si>
    <t>Kurella, Ro.</t>
  </si>
  <si>
    <t>Kurschat, Kl.</t>
  </si>
  <si>
    <t xml:space="preserve">Dir E adV </t>
  </si>
  <si>
    <t>Elz</t>
  </si>
  <si>
    <t>Kusber, Ge.</t>
  </si>
  <si>
    <t>Dir E Gef 01/1</t>
  </si>
  <si>
    <t>Labs, St.</t>
  </si>
  <si>
    <t>Dir E Gef 1/City - A/4</t>
  </si>
  <si>
    <t>Labudda, Ta.</t>
  </si>
  <si>
    <t>Landgraf, Mi.</t>
  </si>
  <si>
    <t>Landsberg, Be.</t>
  </si>
  <si>
    <t>Dir E Gef 1/NO - A/4</t>
  </si>
  <si>
    <t>Lange, An.</t>
  </si>
  <si>
    <t>Dir E Gef 1/W - A/4</t>
  </si>
  <si>
    <t>Dir E Gef 1 - TD</t>
  </si>
  <si>
    <t>Lange , Ma.</t>
  </si>
  <si>
    <t>Lanwehr, Mi.</t>
  </si>
  <si>
    <t>Lasse , Ut.</t>
  </si>
  <si>
    <t>Laukant, Sa.</t>
  </si>
  <si>
    <t>Le Hong, So.</t>
  </si>
  <si>
    <t>Waffentrageverbot</t>
  </si>
  <si>
    <t>Dir E Gef 1/W - C/4</t>
  </si>
  <si>
    <t>Lehmann, Ca.</t>
  </si>
  <si>
    <t>Leidl, Na.</t>
  </si>
  <si>
    <t>Leppin, Ho.</t>
  </si>
  <si>
    <t>Lesser, Ch.</t>
  </si>
  <si>
    <t>Letzner, An.</t>
  </si>
  <si>
    <t>Leymann, Th.</t>
  </si>
  <si>
    <t>Dir E Gef 31</t>
  </si>
  <si>
    <t>Lichy, Ma.</t>
  </si>
  <si>
    <t>Dir E Gef 1/Te B-4</t>
  </si>
  <si>
    <t>Liebchen, Uw.</t>
  </si>
  <si>
    <t>Dir E Gef 31 - Schicht</t>
  </si>
  <si>
    <t>Liebich, St.</t>
  </si>
  <si>
    <t>Dir E Gef 1/City - /4</t>
  </si>
  <si>
    <t>Liefeldt, Ol.</t>
  </si>
  <si>
    <t>Lieker, Ma.</t>
  </si>
  <si>
    <t>Lill, Jü.</t>
  </si>
  <si>
    <t>Lillack, Mi.</t>
  </si>
  <si>
    <t>Dir E Gef 1/W - D/4</t>
  </si>
  <si>
    <t>Linser, An.</t>
  </si>
  <si>
    <t>Lipke, Di.</t>
  </si>
  <si>
    <t>Lorbeer, Ri.</t>
  </si>
  <si>
    <t>Dir E Gef 1/SW - A/4</t>
  </si>
  <si>
    <t>Löschke, Mi.</t>
  </si>
  <si>
    <t>Dir E Gef 1/SW - D/4</t>
  </si>
  <si>
    <t>ADV bis 31.03.19 Vertrauensp.</t>
  </si>
  <si>
    <t>Lüder, An.</t>
  </si>
  <si>
    <t>Dir E Gef 1/NO - D/4</t>
  </si>
  <si>
    <t>Lukas, An.</t>
  </si>
  <si>
    <t xml:space="preserve">Dir E Gef 1 - TSD </t>
  </si>
  <si>
    <t>Lunow, Ca.</t>
  </si>
  <si>
    <t>Dir E Gef 01/01</t>
  </si>
  <si>
    <t>Luttig, Di.</t>
  </si>
  <si>
    <t>Lyska, Ma.</t>
  </si>
  <si>
    <t>Mach, Je.</t>
  </si>
  <si>
    <t>Mache, Je.</t>
  </si>
  <si>
    <t>Mai, De.</t>
  </si>
  <si>
    <t>Dir E Gef 1/Te - A/D</t>
  </si>
  <si>
    <t>keine Waffe</t>
  </si>
  <si>
    <t>Majora, Mi.</t>
  </si>
  <si>
    <t>Maneke, Ch.</t>
  </si>
  <si>
    <t>Marsch, Fr.</t>
  </si>
  <si>
    <t>Marschall, St.</t>
  </si>
  <si>
    <t>Martens, Sa.</t>
  </si>
  <si>
    <t>Marx, Wo.</t>
  </si>
  <si>
    <t>Dir E Gef 1 City - B/4</t>
  </si>
  <si>
    <t>Masanke, An.</t>
  </si>
  <si>
    <t>Mathé, Ga.</t>
  </si>
  <si>
    <t>Dir E Gef 31 - TD</t>
  </si>
  <si>
    <t>Matthei, Ti.</t>
  </si>
  <si>
    <t>Dir E  Gef 1/ Te-A/4</t>
  </si>
  <si>
    <t>Matzke, Ma.</t>
  </si>
  <si>
    <t>Mausolf, St.</t>
  </si>
  <si>
    <t>Dir E Gef 1/ KhD- B/4</t>
  </si>
  <si>
    <t>Maute, Fe.</t>
  </si>
  <si>
    <t>Dir E Gef 1/City C-4</t>
  </si>
  <si>
    <t>Mazak, St.</t>
  </si>
  <si>
    <t xml:space="preserve">Dir E Gef 1/City - A/4 </t>
  </si>
  <si>
    <t>Mazur, An.</t>
  </si>
  <si>
    <t>Mehlitz, As.</t>
  </si>
  <si>
    <t>Mehnert, Bo.</t>
  </si>
  <si>
    <t>Meier, Jö.</t>
  </si>
  <si>
    <t>Dir E Gef 1/Te - TSD B/C</t>
  </si>
  <si>
    <t>Meifert, Ch.</t>
  </si>
  <si>
    <t>Meilicke, Ir.</t>
  </si>
  <si>
    <t>Meise, No.</t>
  </si>
  <si>
    <t>Dir E Gef 1/Te D-4</t>
  </si>
  <si>
    <t>Melchert, Fr.</t>
  </si>
  <si>
    <t>Dir E Gef 1/NO - TD</t>
  </si>
  <si>
    <t>Meyer, Re.</t>
  </si>
  <si>
    <t>Meyer, Uw.</t>
  </si>
  <si>
    <t>Michaelis, Ol.</t>
  </si>
  <si>
    <t>Michel , Di.</t>
  </si>
  <si>
    <t>Mielke, De.</t>
  </si>
  <si>
    <t>Miner, Ed.</t>
  </si>
  <si>
    <t>Minz, Ra.</t>
  </si>
  <si>
    <t>Mittelstädt, Ru.</t>
  </si>
  <si>
    <t>adV LKA KT 0112</t>
  </si>
  <si>
    <t>Mittelstädt, Ma.</t>
  </si>
  <si>
    <t>Mlynarek, Fr.</t>
  </si>
  <si>
    <t>Dir E Dir 1/City- A/4</t>
  </si>
  <si>
    <t>Mocekat, La.</t>
  </si>
  <si>
    <t>Möhrke, Bi.</t>
  </si>
  <si>
    <t>Möller, Di.</t>
  </si>
  <si>
    <t>Moschet, Ha.</t>
  </si>
  <si>
    <t>Moyseschewitz, De.</t>
  </si>
  <si>
    <t>Mücksch, No.</t>
  </si>
  <si>
    <t>Dir E Gef 1/NO - C/4</t>
  </si>
  <si>
    <t>Müller, Fr.</t>
  </si>
  <si>
    <t>Müller, An.</t>
  </si>
  <si>
    <t>Müller, Ca.</t>
  </si>
  <si>
    <t>Müller, Pa.</t>
  </si>
  <si>
    <t>Rickmann, Mi.</t>
  </si>
  <si>
    <t>Christoph, Sa.</t>
  </si>
  <si>
    <t>Junitz, Ma.</t>
  </si>
  <si>
    <t>Herrmann-Reisener, He.</t>
  </si>
  <si>
    <t>dV seit 02.01.2019</t>
  </si>
  <si>
    <t>Judt, Ol.</t>
  </si>
  <si>
    <t>Gebhardt, Ho.</t>
  </si>
  <si>
    <t>Schmischke, Ja.</t>
  </si>
  <si>
    <t>Westphal, Da.</t>
  </si>
  <si>
    <t>Englisch, Ma.</t>
  </si>
  <si>
    <t>Kowalewicz, Ma.</t>
  </si>
  <si>
    <t>Solibieda, Sa.</t>
  </si>
  <si>
    <t>Kriegs, Ro.</t>
  </si>
  <si>
    <t>ab 03.05.18 - 05.05.19</t>
  </si>
  <si>
    <t>seit 01.01.2019: 3. BPA</t>
  </si>
  <si>
    <t>Wähmann, Ri.</t>
  </si>
  <si>
    <t>Hospi bis 31.08.19</t>
  </si>
  <si>
    <t>Dahmes, Da.</t>
  </si>
  <si>
    <t>dV 01.06.18 - 31.05.19</t>
  </si>
  <si>
    <t>Podschuweit, Mi.</t>
  </si>
  <si>
    <t>Dietrich, Da.</t>
  </si>
  <si>
    <t>Küster, Ro.</t>
  </si>
  <si>
    <t>Dir E St 112</t>
  </si>
  <si>
    <t>Dannebaum, An.</t>
  </si>
  <si>
    <t>Meinert, Lu.</t>
  </si>
  <si>
    <t>Fröhlich, Pa.</t>
  </si>
  <si>
    <t>Bauch, An.</t>
  </si>
  <si>
    <t>Schlupper-Wilhelm, Da.</t>
  </si>
  <si>
    <t>Zimolong, Da.</t>
  </si>
  <si>
    <t>Lang, Ma.</t>
  </si>
  <si>
    <t>Kubitzki, An.</t>
  </si>
  <si>
    <t>Kaiser, An.</t>
  </si>
  <si>
    <t>Kroll, Da.</t>
  </si>
  <si>
    <t>dV 01.09.18 - 31.08.19</t>
  </si>
  <si>
    <t>Fuchs, Ma.</t>
  </si>
  <si>
    <t>Rädel, Ch.</t>
  </si>
  <si>
    <t>Dir E St 113</t>
  </si>
  <si>
    <t>dV  08.10.18-07.10.19</t>
  </si>
  <si>
    <t>Stellmacher, Di.</t>
  </si>
  <si>
    <t>Hospi 17.12.18-17.03.19</t>
  </si>
  <si>
    <t>Hornig, Ma.</t>
  </si>
  <si>
    <t>Tutzschke, Th.</t>
  </si>
  <si>
    <t>Semmrich, An.</t>
  </si>
  <si>
    <t>Rippert, Jö.</t>
  </si>
  <si>
    <t>Kolberg, Da.</t>
  </si>
  <si>
    <t>Protz, Ol.</t>
  </si>
  <si>
    <t>Müller, Ko.</t>
  </si>
  <si>
    <t>Kensa, Ca.</t>
  </si>
  <si>
    <t>Standfuss, Ma.</t>
  </si>
  <si>
    <t>Wiegel, He.</t>
  </si>
  <si>
    <t>Behring, Uw.</t>
  </si>
  <si>
    <t>Krüger, Ka.</t>
  </si>
  <si>
    <t>Jacobi, Me.</t>
  </si>
  <si>
    <t>Scheer, Ma.</t>
  </si>
  <si>
    <t>Hospi 02.01.-31.03.2019</t>
  </si>
  <si>
    <t>Trauzettel, Di.</t>
  </si>
  <si>
    <t>Femfert, He.</t>
  </si>
  <si>
    <t>Herbster, In.</t>
  </si>
  <si>
    <t>Wilke, St.</t>
  </si>
  <si>
    <t>Tolski, Di.</t>
  </si>
  <si>
    <t>Dir E St 12</t>
  </si>
  <si>
    <t>Krüssmann, Ju.</t>
  </si>
  <si>
    <t>Frärks, Fl.</t>
  </si>
  <si>
    <t>Bock, Aa.</t>
  </si>
  <si>
    <t>Behrendts, Uw.</t>
  </si>
  <si>
    <t>Dir E St 13</t>
  </si>
  <si>
    <t>Kehr, An.</t>
  </si>
  <si>
    <t>Kauffmann, Ma.</t>
  </si>
  <si>
    <t>Wepner, In.</t>
  </si>
  <si>
    <t>Mache, Wo.</t>
  </si>
  <si>
    <t>Dir E St 14</t>
  </si>
  <si>
    <t>01.03.2018: E.i.d.R.</t>
  </si>
  <si>
    <t>Owczarek, St.</t>
  </si>
  <si>
    <t>Martin , La.</t>
  </si>
  <si>
    <t>Dir E St 2</t>
  </si>
  <si>
    <t>Obermüller, Di.</t>
  </si>
  <si>
    <t>Dir E St 21</t>
  </si>
  <si>
    <t>Ballschmieter, He.</t>
  </si>
  <si>
    <t>Ruhnau, Ma.</t>
  </si>
  <si>
    <t>Nürnberger, Mi.</t>
  </si>
  <si>
    <t>Schröder, Ge.</t>
  </si>
  <si>
    <t>Kleinfeldt, Jö.</t>
  </si>
  <si>
    <t>Bleeck, An.</t>
  </si>
  <si>
    <t>Steiner, Pe.</t>
  </si>
  <si>
    <t>Thrun, Jü.</t>
  </si>
  <si>
    <t>Drögmöller, Ol.</t>
  </si>
  <si>
    <t>Witte, Th.</t>
  </si>
  <si>
    <t>Buckow, Jö.</t>
  </si>
  <si>
    <t>Damelang, Sv.</t>
  </si>
  <si>
    <t>Dir E St 22</t>
  </si>
  <si>
    <t>Zerbe, Ha.</t>
  </si>
  <si>
    <t>Reinders, Ch.</t>
  </si>
  <si>
    <t>Schmidt, Th.</t>
  </si>
  <si>
    <t>Dir E St 23</t>
  </si>
  <si>
    <t>Brennicke, Th.</t>
  </si>
  <si>
    <t>Seidel, Ma.</t>
  </si>
  <si>
    <t>Volkmann, An.</t>
  </si>
  <si>
    <t>Flentge, Ka.</t>
  </si>
  <si>
    <t>Dir E St 3</t>
  </si>
  <si>
    <t>Diesener, Ar.</t>
  </si>
  <si>
    <t>Dir E St 31</t>
  </si>
  <si>
    <t>Hayta, Ha.</t>
  </si>
  <si>
    <t>Würschmidt, An.</t>
  </si>
  <si>
    <t>Arendt, Al.</t>
  </si>
  <si>
    <t>Schulze, Ar.</t>
  </si>
  <si>
    <t>Rübesam, Ma.</t>
  </si>
  <si>
    <t>Liesche, Je.</t>
  </si>
  <si>
    <t>Dubell, Ka.</t>
  </si>
  <si>
    <t>Dehl, Ja.</t>
  </si>
  <si>
    <t>Pater, Ga.</t>
  </si>
  <si>
    <t>Thome, De.</t>
  </si>
  <si>
    <t>dV 08.10.18-07.10.19</t>
  </si>
  <si>
    <t>Borutta, Re.</t>
  </si>
  <si>
    <t>Wirth, Ol.</t>
  </si>
  <si>
    <t>Dir E St 315</t>
  </si>
  <si>
    <t>dV seit 01.01.2019</t>
  </si>
  <si>
    <t>Osenbrüg, Ja.</t>
  </si>
  <si>
    <t>Dir E St 32</t>
  </si>
  <si>
    <t>Bengsch, An.</t>
  </si>
  <si>
    <t>Schotte, Rü.</t>
  </si>
  <si>
    <t>Briesemeister, Kn.</t>
  </si>
  <si>
    <t>Schmekel, Be.</t>
  </si>
  <si>
    <t>Wyrostek, Pe.</t>
  </si>
  <si>
    <t>Zentschenko, Mi.</t>
  </si>
  <si>
    <t>Dir E St 34</t>
  </si>
  <si>
    <t>01.11.2018: E.i.d.R.</t>
  </si>
  <si>
    <t>Behrendt , An.</t>
  </si>
  <si>
    <t>Heck, Ol.</t>
  </si>
  <si>
    <t>Joachim, Da.</t>
  </si>
  <si>
    <t>Kretschmann, Mi.</t>
  </si>
  <si>
    <t>Dams, Ma.</t>
  </si>
  <si>
    <t>Dir E St 4</t>
  </si>
  <si>
    <t>Pantzalis, Al.</t>
  </si>
  <si>
    <t>Dir E St 41</t>
  </si>
  <si>
    <t>Ferber, Kl.</t>
  </si>
  <si>
    <t>Grünheid, Se.</t>
  </si>
  <si>
    <t>Dir E St 42</t>
  </si>
  <si>
    <t>Hospi 05.11.18-03.02.19</t>
  </si>
  <si>
    <t>Aktas, Öz.</t>
  </si>
  <si>
    <t>Kühl, Ke.</t>
  </si>
  <si>
    <t>Dir E St 52</t>
  </si>
  <si>
    <t>Ziegler, Ca.</t>
  </si>
  <si>
    <t>Ebling, Fr.</t>
  </si>
  <si>
    <t>Schenk, Th.</t>
  </si>
  <si>
    <t>Malesse, An.</t>
  </si>
  <si>
    <t>Gärtner, Sa.</t>
  </si>
  <si>
    <t>Hatesuer, Jö.</t>
  </si>
  <si>
    <t>Berndt, Ja.</t>
  </si>
  <si>
    <t>Schulz, Ta.</t>
  </si>
  <si>
    <t>Heller, Uw.</t>
  </si>
  <si>
    <t>Dir E Steuerungsb.</t>
  </si>
  <si>
    <t>Müller, Ar.</t>
  </si>
  <si>
    <t>dV 15.10.18 - 14.04.19</t>
  </si>
  <si>
    <t>Jasper, Ma.</t>
  </si>
  <si>
    <t>dV seit 20.10.2018</t>
  </si>
  <si>
    <t>Wäschke, Jö.</t>
  </si>
  <si>
    <t>dV seit 17.12.2018</t>
  </si>
  <si>
    <t>Vogler, Ma.</t>
  </si>
  <si>
    <t>dV seit 15.12.2018</t>
  </si>
  <si>
    <t>Angelbis, Th.</t>
  </si>
  <si>
    <t>Dir E ELZ 13</t>
  </si>
  <si>
    <t>Block, Ca.</t>
  </si>
  <si>
    <t>Dir E ELZ 11</t>
  </si>
  <si>
    <t>Brede, Ul.</t>
  </si>
  <si>
    <t>Friese, Wo.</t>
  </si>
  <si>
    <t>Garnatz, Ke.</t>
  </si>
  <si>
    <t>Dir E ELZ 112</t>
  </si>
  <si>
    <t>Guttmann, St.</t>
  </si>
  <si>
    <t>Dir E ELZ 14</t>
  </si>
  <si>
    <t>Herzog, Ma.</t>
  </si>
  <si>
    <t>Hirsch, Pe.</t>
  </si>
  <si>
    <t>Hoffmann, He.</t>
  </si>
  <si>
    <t>Käppner, Ha.</t>
  </si>
  <si>
    <t>Dir E ELZ 1</t>
  </si>
  <si>
    <t>Knopinski, An.</t>
  </si>
  <si>
    <t>Kokocinski, An.</t>
  </si>
  <si>
    <t>Dir E ELZ 15</t>
  </si>
  <si>
    <t>Krüger, St.</t>
  </si>
  <si>
    <t>Kühn, Ha.</t>
  </si>
  <si>
    <t>Dir E ELZ WT/ET</t>
  </si>
  <si>
    <t>Landweer, Ul.</t>
  </si>
  <si>
    <t>Liss, Ch.</t>
  </si>
  <si>
    <t>Meier, An.</t>
  </si>
  <si>
    <t>Naglo, Ra.</t>
  </si>
  <si>
    <t>Perri, Vi.</t>
  </si>
  <si>
    <t>Dir E ELZ 111</t>
  </si>
  <si>
    <t>Pollok, Uw.</t>
  </si>
  <si>
    <t>Rimbach, Jo.</t>
  </si>
  <si>
    <t>Dir E Dir ELZ 1 V</t>
  </si>
  <si>
    <t>V</t>
  </si>
  <si>
    <t>Schmiel-Kohlhaas, Th.</t>
  </si>
  <si>
    <t>Prinz, Mi.</t>
  </si>
  <si>
    <t>Dir E ELZ L</t>
  </si>
  <si>
    <t>Warncke, St.</t>
  </si>
  <si>
    <t>Winkler, He.</t>
  </si>
  <si>
    <t>Wittchen, An.</t>
  </si>
  <si>
    <t>Franzke, Ma.</t>
  </si>
  <si>
    <t>Dir E ELZ 3</t>
  </si>
  <si>
    <t>Hetz, An.</t>
  </si>
  <si>
    <t>Karkhoff, Th.</t>
  </si>
  <si>
    <t>Maliszewski, Fr.</t>
  </si>
  <si>
    <t>Nickel, An.</t>
  </si>
  <si>
    <t>Richter, Ca.</t>
  </si>
  <si>
    <t>Rückheim, Be.</t>
  </si>
  <si>
    <t>Strahlendorf, Be.</t>
  </si>
  <si>
    <t>Tonn, An.</t>
  </si>
  <si>
    <t>Wippo, De.</t>
  </si>
  <si>
    <t>Biermann, Re.</t>
  </si>
  <si>
    <t>Dir E ELZ 4</t>
  </si>
  <si>
    <t>David, Fr.</t>
  </si>
  <si>
    <t>Große, De.</t>
  </si>
  <si>
    <t>Jahrens, Sv.</t>
  </si>
  <si>
    <t>Kratzer, Di.</t>
  </si>
  <si>
    <t>Reiß, Bu.</t>
  </si>
  <si>
    <t>Wagner, Sv.</t>
  </si>
  <si>
    <t>Weiner, Fr.</t>
  </si>
  <si>
    <t>Wesener, Th.</t>
  </si>
  <si>
    <t>Beuchler, No.</t>
  </si>
  <si>
    <t>Dir E ELZ 2 A/4</t>
  </si>
  <si>
    <t>Dkr</t>
  </si>
  <si>
    <t>Böhm, St.</t>
  </si>
  <si>
    <t>Brauner, Ma.</t>
  </si>
  <si>
    <t>Bumann, Ma.</t>
  </si>
  <si>
    <t>Büch, Pe.</t>
  </si>
  <si>
    <t>Burger, An.</t>
  </si>
  <si>
    <t>Pers.Rat</t>
  </si>
  <si>
    <t>Deutzmann, Ta.</t>
  </si>
  <si>
    <t>Durawe, No.</t>
  </si>
  <si>
    <t>Eichler, Fr.</t>
  </si>
  <si>
    <t>Engel, Ra.</t>
  </si>
  <si>
    <t>Euent, Ha.</t>
  </si>
  <si>
    <t>Ewert, Di.</t>
  </si>
  <si>
    <t>Frister, To.</t>
  </si>
  <si>
    <t>Fröhlich, Ro.</t>
  </si>
  <si>
    <t>Furchner, Th.</t>
  </si>
  <si>
    <t>Granat, Mi.</t>
  </si>
  <si>
    <t>Haftmann, Mi.</t>
  </si>
  <si>
    <t>Heyer, Sv.</t>
  </si>
  <si>
    <t>Herzog, Ro.</t>
  </si>
  <si>
    <t>Heymel, Re.</t>
  </si>
  <si>
    <t>Horschak, Uw.</t>
  </si>
  <si>
    <t>Ingecoglu, Uf.</t>
  </si>
  <si>
    <t>Joly, Sv.</t>
  </si>
  <si>
    <t>Kallok, Ai.</t>
  </si>
  <si>
    <t>Dir E ELZ 2 B/4</t>
  </si>
  <si>
    <t>Musch Vo</t>
  </si>
  <si>
    <t>Karaman, Il.</t>
  </si>
  <si>
    <t>Kather, Ra.</t>
  </si>
  <si>
    <t>Kintzel, Ka.</t>
  </si>
  <si>
    <t>Kley, Th.</t>
  </si>
  <si>
    <t>Lopes Ribeiro , Cl.</t>
  </si>
  <si>
    <t>Loth, An.</t>
  </si>
  <si>
    <t>Lützner, Fl.</t>
  </si>
  <si>
    <t>Marschke, Jo.</t>
  </si>
  <si>
    <t>Massenberg, Mi.</t>
  </si>
  <si>
    <t>Nix, Mi.</t>
  </si>
  <si>
    <t>Pfannenberg, To.</t>
  </si>
  <si>
    <t>Pohle, Ra.</t>
  </si>
  <si>
    <t>Pramor, Mi.</t>
  </si>
  <si>
    <t>Raabe, To.</t>
  </si>
  <si>
    <t>Reimann, Ha.</t>
  </si>
  <si>
    <t>Riepenhausen, Th.</t>
  </si>
  <si>
    <t>Ritter, Di.</t>
  </si>
  <si>
    <t>Rost, Be.</t>
  </si>
  <si>
    <t>Schäfer, Jö.</t>
  </si>
  <si>
    <t>VDA</t>
  </si>
  <si>
    <t>Schierlitz, Ri.</t>
  </si>
  <si>
    <t>Schließer, Ra.</t>
  </si>
  <si>
    <t>Schmitz, Al.</t>
  </si>
  <si>
    <t>Schott, Da.</t>
  </si>
  <si>
    <t>Schulz, Ka.</t>
  </si>
  <si>
    <t>Schulz, Ra.</t>
  </si>
  <si>
    <t>Smolka, Ro.</t>
  </si>
  <si>
    <t>Thormann, St.</t>
  </si>
  <si>
    <t>Musch VO</t>
  </si>
  <si>
    <t>Tietz, Th.</t>
  </si>
  <si>
    <t>Traversi, Ma.</t>
  </si>
  <si>
    <t>Wahl, Ni.</t>
  </si>
  <si>
    <t>Weinsheimer, Ma.</t>
  </si>
  <si>
    <t>Wichmann, Lu.</t>
  </si>
  <si>
    <t>Wunderlich, He.</t>
  </si>
  <si>
    <t>Balkon, Ma.</t>
  </si>
  <si>
    <t>Bierfreund, Di.</t>
  </si>
  <si>
    <t>Bornemann, Da.</t>
  </si>
  <si>
    <t>Brombeck, Ax.</t>
  </si>
  <si>
    <t>Brumme, Ch.</t>
  </si>
  <si>
    <t>Buchholz, Fr.</t>
  </si>
  <si>
    <t>Burisch, St.</t>
  </si>
  <si>
    <t>Dehnert, Fr.</t>
  </si>
  <si>
    <t>Dieckhoff, Fr.</t>
  </si>
  <si>
    <t>Dietloff, Ga.</t>
  </si>
  <si>
    <t>Dietrich, Mi.</t>
  </si>
  <si>
    <t>Dück, Al.</t>
  </si>
  <si>
    <t>Görsch, De.</t>
  </si>
  <si>
    <t>Gottschalk, Ro.</t>
  </si>
  <si>
    <t>Groß, Ch.</t>
  </si>
  <si>
    <t>Heinrich, St.</t>
  </si>
  <si>
    <t>Herrmann, Ro.</t>
  </si>
  <si>
    <t>Hoenicke, Ro.</t>
  </si>
  <si>
    <t>Holtz, Re.</t>
  </si>
  <si>
    <t>Kabitschke, Al.</t>
  </si>
  <si>
    <t>Komorowsky, Ol.</t>
  </si>
  <si>
    <t>Kummerer, Be.</t>
  </si>
  <si>
    <t>Kummerer, Ol.</t>
  </si>
  <si>
    <t>Kupper, Ca.</t>
  </si>
  <si>
    <t>Ladwig, Wo.</t>
  </si>
  <si>
    <t>Lehmpfuhl, Sa.</t>
  </si>
  <si>
    <t>Lehmus, An.</t>
  </si>
  <si>
    <t>Machnitzke, Ch.</t>
  </si>
  <si>
    <t>Marx, De.</t>
  </si>
  <si>
    <t>Mentzel, La.</t>
  </si>
  <si>
    <t>Mollenhauer, Co.</t>
  </si>
  <si>
    <t>Müller, Il.</t>
  </si>
  <si>
    <t>Munke, Ma.</t>
  </si>
  <si>
    <t>Nicolaisen, Pe.</t>
  </si>
  <si>
    <t>Neuendorf, St.</t>
  </si>
  <si>
    <t>Pallangyo, Da.</t>
  </si>
  <si>
    <t>Pölk, Mi.</t>
  </si>
  <si>
    <t>Pollok, To.</t>
  </si>
  <si>
    <t>Preuß, Ol.</t>
  </si>
  <si>
    <t>Rohmann-Irmler, Su.</t>
  </si>
  <si>
    <t>Roth, Pe.</t>
  </si>
  <si>
    <t>Schindler, In.</t>
  </si>
  <si>
    <t>Schmidt, Jö.</t>
  </si>
  <si>
    <t>Schotte, Ja.</t>
  </si>
  <si>
    <t>Schröder, Lo.</t>
  </si>
  <si>
    <t>Stukenbrok, In.</t>
  </si>
  <si>
    <t>Teuber, Fa.</t>
  </si>
  <si>
    <t>Wessolleck, Be.</t>
  </si>
  <si>
    <t>Winter, Je.</t>
  </si>
  <si>
    <t>Winzer, Ma.</t>
  </si>
  <si>
    <t>Wolff, In.</t>
  </si>
  <si>
    <t>Wolff, Ka.</t>
  </si>
  <si>
    <t>Wüstenhagen, Ka.</t>
  </si>
  <si>
    <t>Zander, St.</t>
  </si>
  <si>
    <t>Zeletzky, Ka.</t>
  </si>
  <si>
    <t>Zinow, Wo.</t>
  </si>
  <si>
    <t>Zobel, St.</t>
  </si>
  <si>
    <t>Behrendt, Jö.</t>
  </si>
  <si>
    <t>Dir E ELZ 2 C/4</t>
  </si>
  <si>
    <t>Bettcher, La.</t>
  </si>
  <si>
    <t>Biedermann, Ma.</t>
  </si>
  <si>
    <t>Busch, Jö.</t>
  </si>
  <si>
    <t>Conrad, Ch.</t>
  </si>
  <si>
    <t>Demirovic, Ut.</t>
  </si>
  <si>
    <t>Diekmann, Ti.</t>
  </si>
  <si>
    <t>Donath, Jo.</t>
  </si>
  <si>
    <t>Pension</t>
  </si>
  <si>
    <t>Dreßler, An.</t>
  </si>
  <si>
    <t>Eberle, Di.</t>
  </si>
  <si>
    <t>Frieboes, Ka.</t>
  </si>
  <si>
    <t>Götzinger, Uw.</t>
  </si>
  <si>
    <t>Grass, An.</t>
  </si>
  <si>
    <t>Halex, Rü.</t>
  </si>
  <si>
    <t>Hanfland, Al.</t>
  </si>
  <si>
    <t>Hanke, Re.</t>
  </si>
  <si>
    <t>Hepp, Ad.</t>
  </si>
  <si>
    <t>Hoffmann, Fr.</t>
  </si>
  <si>
    <t>Hoffmann, Re.</t>
  </si>
  <si>
    <t>Jezierski, Mo.</t>
  </si>
  <si>
    <t>Kecker, Se.</t>
  </si>
  <si>
    <t>Klingbeil, Sa.</t>
  </si>
  <si>
    <t>Kräutlein, Th.</t>
  </si>
  <si>
    <t>Kunert, Ra.</t>
  </si>
  <si>
    <t>Kuru, De.</t>
  </si>
  <si>
    <t>Kutscher, Ma.</t>
  </si>
  <si>
    <t>Kunz, An.</t>
  </si>
  <si>
    <t>Lehmann, Ga.</t>
  </si>
  <si>
    <t>Lehmann, Mi.</t>
  </si>
  <si>
    <t>Lier, Ca.</t>
  </si>
  <si>
    <t>Lungwitz, An.</t>
  </si>
  <si>
    <t>Lutz, De.</t>
  </si>
  <si>
    <t>Mehmecke, Da.</t>
  </si>
  <si>
    <t>Mitschke, Uw.</t>
  </si>
  <si>
    <t>Neumann, Pa.</t>
  </si>
  <si>
    <t>Pagenkämper, Di.</t>
  </si>
  <si>
    <t>Pannek, Br.</t>
  </si>
  <si>
    <t>Panse, Fr.</t>
  </si>
  <si>
    <t>Paschke, Mi.</t>
  </si>
  <si>
    <t>Pavel, Mi.</t>
  </si>
  <si>
    <t>Pflug, An.</t>
  </si>
  <si>
    <t>Possel, von, Ma.</t>
  </si>
  <si>
    <t>Prüstel, Ra.</t>
  </si>
  <si>
    <t>Redlich, Ca.</t>
  </si>
  <si>
    <t>Riechert, He.</t>
  </si>
  <si>
    <t>Röhl, Ma.</t>
  </si>
  <si>
    <t>Runge, Fr.</t>
  </si>
  <si>
    <t>Rust, Ma.</t>
  </si>
  <si>
    <t>Sayilgan, De.</t>
  </si>
  <si>
    <t>Schack, Ro.</t>
  </si>
  <si>
    <t>Schnauck, Be.</t>
  </si>
  <si>
    <t>Schwän, Th.</t>
  </si>
  <si>
    <t>Schweda, Ra.</t>
  </si>
  <si>
    <t>Stoeckel, Ma.</t>
  </si>
  <si>
    <t>Steinberg, De.</t>
  </si>
  <si>
    <t>Stübner, Th.</t>
  </si>
  <si>
    <t>Szott, Yv.</t>
  </si>
  <si>
    <t>Treseler, Ma.</t>
  </si>
  <si>
    <t>van Damme, Ma.</t>
  </si>
  <si>
    <t>von Stürmer, Ch.</t>
  </si>
  <si>
    <t>Weinke, Ol.</t>
  </si>
  <si>
    <t>Werner, Da.</t>
  </si>
  <si>
    <t>Wernicke, Th.</t>
  </si>
  <si>
    <t>Aktürk, On.</t>
  </si>
  <si>
    <t>Dir E ELZ 2 D/4</t>
  </si>
  <si>
    <t>Banse, Di.</t>
  </si>
  <si>
    <t>Bauer, Lo.</t>
  </si>
  <si>
    <t>Baumgarten, Sv.</t>
  </si>
  <si>
    <t>Bloß, Jö.</t>
  </si>
  <si>
    <t>Bosien, Ch.</t>
  </si>
  <si>
    <t>Brieger, Uw.</t>
  </si>
  <si>
    <t>Callies, An.</t>
  </si>
  <si>
    <t>Czerwonsky, Sa.</t>
  </si>
  <si>
    <t>Dahmen, Th.</t>
  </si>
  <si>
    <t>Demircan, Ay.</t>
  </si>
  <si>
    <t>Dombrowski, Di.</t>
  </si>
  <si>
    <t>Dugall, Sa.</t>
  </si>
  <si>
    <t>Eckl, We.</t>
  </si>
  <si>
    <t>Ernst, Ka.</t>
  </si>
  <si>
    <t>Falkenau, Bu.</t>
  </si>
  <si>
    <t>Feigel, An.</t>
  </si>
  <si>
    <t>Franke, Di.</t>
  </si>
  <si>
    <t>Herder, An.</t>
  </si>
  <si>
    <t>Ihrig, Jö.</t>
  </si>
  <si>
    <t>Jäckel, Ka.</t>
  </si>
  <si>
    <t>Jahn, Ch.</t>
  </si>
  <si>
    <t>Jungmann, Pe.</t>
  </si>
  <si>
    <t>Kayser, Se.</t>
  </si>
  <si>
    <t>Kufahl, Ma.</t>
  </si>
  <si>
    <t>Look, An.</t>
  </si>
  <si>
    <t>Möckel, Ro.</t>
  </si>
  <si>
    <t>Müller, Ge.</t>
  </si>
  <si>
    <t>Niemecki, Uw.</t>
  </si>
  <si>
    <t>Oehlmann, Pe.</t>
  </si>
  <si>
    <t>Peetz, Sa.</t>
  </si>
  <si>
    <t>Pfeiffer, Lu.</t>
  </si>
  <si>
    <t>Puls, An.</t>
  </si>
  <si>
    <t>Raddatz, Th.</t>
  </si>
  <si>
    <t>Rütz, Ka.</t>
  </si>
  <si>
    <t>Schargott, To.</t>
  </si>
  <si>
    <t>Schimming, In.</t>
  </si>
  <si>
    <t>Schulz, De.</t>
  </si>
  <si>
    <t>Siemon, Do.</t>
  </si>
  <si>
    <t>Skerra, Mi.</t>
  </si>
  <si>
    <t>Steinbeck, Ch.</t>
  </si>
  <si>
    <t>Stroscher, Go.</t>
  </si>
  <si>
    <t>Talke, Ma.</t>
  </si>
  <si>
    <t>Taubert, La.</t>
  </si>
  <si>
    <t>Temel, Or.</t>
  </si>
  <si>
    <t>Ussat, La.</t>
  </si>
  <si>
    <t>Vogt, Fr.</t>
  </si>
  <si>
    <t>Voigt, Sv.</t>
  </si>
  <si>
    <t>Wagner, Ro.</t>
  </si>
  <si>
    <t>Weckeck, Be.</t>
  </si>
  <si>
    <t>Weinreich, Ha.</t>
  </si>
  <si>
    <t>Willige, Ma.</t>
  </si>
  <si>
    <t>Zajac, En.</t>
  </si>
  <si>
    <t>Zelck, Uw.</t>
  </si>
  <si>
    <t>Zeybek, Ab.</t>
  </si>
  <si>
    <t>Aurich, Ma.</t>
  </si>
  <si>
    <t>Dir E ELZ 2  TD</t>
  </si>
  <si>
    <t>Benninger, Pe.</t>
  </si>
  <si>
    <t>Dorschner, Ma.</t>
  </si>
  <si>
    <t>Gläske, Gu.</t>
  </si>
  <si>
    <t>Gierow, Ro.</t>
  </si>
  <si>
    <t>Dir E ELZ 2 VA</t>
  </si>
  <si>
    <t>Groth, An.</t>
  </si>
  <si>
    <t>Gudlowski, Sv.</t>
  </si>
  <si>
    <t>Dir E ELZ 2  VA</t>
  </si>
  <si>
    <t>Lachmann, Ro.</t>
  </si>
  <si>
    <t>Lemke, Fr.</t>
  </si>
  <si>
    <t>Krüger, An.</t>
  </si>
  <si>
    <t>Kovacs, Be.</t>
  </si>
  <si>
    <t>Kurzweg, Ja.</t>
  </si>
  <si>
    <t>Middendorf, Th.</t>
  </si>
  <si>
    <t>Mehlis, Sv.</t>
  </si>
  <si>
    <t>Noak, Ge.</t>
  </si>
  <si>
    <t>Oswald, Ra.</t>
  </si>
  <si>
    <t>Reicherdt, Ja.</t>
  </si>
  <si>
    <t>Ruck, Is.</t>
  </si>
  <si>
    <t>Schäfer, De.</t>
  </si>
  <si>
    <t>Scheffler, Ha.</t>
  </si>
  <si>
    <t>Scherhag, Th.</t>
  </si>
  <si>
    <t>Schepe, Di.</t>
  </si>
  <si>
    <t>Schiller, Ch.</t>
  </si>
  <si>
    <t>Dir E ELZ 2 TD</t>
  </si>
  <si>
    <t>Sowik, Ir.</t>
  </si>
  <si>
    <t>Stolle, St.</t>
  </si>
  <si>
    <t>Walther, Th.</t>
  </si>
  <si>
    <t>Zeise, Jö.</t>
  </si>
  <si>
    <t>Aberlein, Fr.</t>
  </si>
  <si>
    <t>Abraham, Re.</t>
  </si>
  <si>
    <t>Dir E Gef 1/Te A-4</t>
  </si>
  <si>
    <t>Achterberg, Si.</t>
  </si>
  <si>
    <t>Achterberg (ehem. Schaum), Fr.</t>
  </si>
  <si>
    <t>Adam, Rü.</t>
  </si>
  <si>
    <t>Adamski, Ka.</t>
  </si>
  <si>
    <t>Akyol , Ar.</t>
  </si>
  <si>
    <t>Dir E Gef 1/SW</t>
  </si>
  <si>
    <t>Elternzeit</t>
  </si>
  <si>
    <t>Alisch, Ra.</t>
  </si>
  <si>
    <t>Altan, Ca.</t>
  </si>
  <si>
    <t>Anders, Al.</t>
  </si>
  <si>
    <t>Arnold, Ul.</t>
  </si>
  <si>
    <t>Arslan, Al.</t>
  </si>
  <si>
    <t>Dir E  Gef 1/ W -C/4</t>
  </si>
  <si>
    <t>Auer, Be.</t>
  </si>
  <si>
    <t>Awizus, Fr.</t>
  </si>
  <si>
    <t>Bache, Be.</t>
  </si>
  <si>
    <t>Bahgat, Ka.</t>
  </si>
  <si>
    <t>Baierl, Si.</t>
  </si>
  <si>
    <t>Balke, Su.</t>
  </si>
  <si>
    <t>Bandermann, Cl.</t>
  </si>
  <si>
    <t>Bang, Al.</t>
  </si>
  <si>
    <t>Banse, Sa.</t>
  </si>
  <si>
    <t>Barke (ehemals Friedrich), Go.</t>
  </si>
  <si>
    <t>Barsikow, Ro.</t>
  </si>
  <si>
    <t>Barth, He.</t>
  </si>
  <si>
    <t>Bauer, Ax.</t>
  </si>
  <si>
    <t>Baum, Ch.</t>
  </si>
  <si>
    <t>Baumgardt, St.</t>
  </si>
  <si>
    <t>Dir E Gef 1/ Te -A4</t>
  </si>
  <si>
    <t>Bauschke, Th.</t>
  </si>
  <si>
    <t>Becker, Mi.</t>
  </si>
  <si>
    <t>Dir E  Gef 1/ SW</t>
  </si>
  <si>
    <t>Beckert, Ol.</t>
  </si>
  <si>
    <t>Beeck, De.</t>
  </si>
  <si>
    <t>Behle, Ka.</t>
  </si>
  <si>
    <t>Belich, Al.</t>
  </si>
  <si>
    <t>Bellgardt, Ti.</t>
  </si>
  <si>
    <t>Dir E Gef 1/ W -B/4</t>
  </si>
  <si>
    <t>Bergemann, Mo.</t>
  </si>
  <si>
    <t>Bernasch, Je.</t>
  </si>
  <si>
    <t>Dir E  Gef 1/ City D/4</t>
  </si>
  <si>
    <t>Berndt, An.</t>
  </si>
  <si>
    <t>Beutler, Ro.</t>
  </si>
  <si>
    <t>Beyer, Ch.</t>
  </si>
  <si>
    <t>Bialas, Be.</t>
  </si>
  <si>
    <t>Dir E Gef 1/Te - TSD A/D</t>
  </si>
  <si>
    <t>Biedermann, Bo.</t>
  </si>
  <si>
    <t>Freistellung GPR</t>
  </si>
  <si>
    <t>Bihler, Ti.</t>
  </si>
  <si>
    <t>Bilgic, Ha.</t>
  </si>
  <si>
    <t>Bindemann, Jo.</t>
  </si>
  <si>
    <t>Dir E Gef 1/NO D/4</t>
  </si>
  <si>
    <t>Birkner, Th.</t>
  </si>
  <si>
    <t>Bittner, Je.</t>
  </si>
  <si>
    <t>Bloch, Ca.</t>
  </si>
  <si>
    <t>Bloch, Wo.</t>
  </si>
  <si>
    <t>Bloch, Be.</t>
  </si>
  <si>
    <t>Boden, Mi.</t>
  </si>
  <si>
    <t>Bodi, Ba.</t>
  </si>
  <si>
    <t>Boeck, Fr.</t>
  </si>
  <si>
    <t xml:space="preserve">Dir E Gef 1/City - B/4 </t>
  </si>
  <si>
    <t>Bogs, Ma.</t>
  </si>
  <si>
    <t>Böhme, Je.</t>
  </si>
  <si>
    <t>Bollenbach, Ca.</t>
  </si>
  <si>
    <t>Bomm, Ra.</t>
  </si>
  <si>
    <t>Borchardt, Ha.</t>
  </si>
  <si>
    <t>Dir E Gef 1/Te - W/4</t>
  </si>
  <si>
    <t>Bormann, He.</t>
  </si>
  <si>
    <t>Born, An.</t>
  </si>
  <si>
    <t>Bornkampf, He.</t>
  </si>
  <si>
    <t>Dir E Gef 1/NO -D/4</t>
  </si>
  <si>
    <t>Bothmann, Ma.</t>
  </si>
  <si>
    <t>Böttcher, Th.</t>
  </si>
  <si>
    <t>Bougrine, Hi.</t>
  </si>
  <si>
    <t>Dir E Gef1/ Te- B/4</t>
  </si>
  <si>
    <t>Brandt, Pe.</t>
  </si>
  <si>
    <t>Dir E Gef 1/Te- B/4</t>
  </si>
  <si>
    <t>Brangi, Gu.</t>
  </si>
  <si>
    <t>Brangi , Ni.</t>
  </si>
  <si>
    <t>Braun, Fr.</t>
  </si>
  <si>
    <t>Dir E Gef 1/W - TD</t>
  </si>
  <si>
    <t>Braun, Ma.</t>
  </si>
  <si>
    <t>Dir E Gef 1/KhD- A/4</t>
  </si>
  <si>
    <t>Braunschweig, Ke.</t>
  </si>
  <si>
    <t>Brechlin, Co.</t>
  </si>
  <si>
    <t>Bredlau, Fr.</t>
  </si>
  <si>
    <t>Bredow, Ma.</t>
  </si>
  <si>
    <t>Dir E Gef 1/ SW</t>
  </si>
  <si>
    <t>Brennert, Be.</t>
  </si>
  <si>
    <t>Breunig, Ka.</t>
  </si>
  <si>
    <t>Brinkmann, Ka.</t>
  </si>
  <si>
    <t>Brömel, Ol.</t>
  </si>
  <si>
    <t>Broszeit, Fl.</t>
  </si>
  <si>
    <t>Brück, Ca.</t>
  </si>
  <si>
    <t>Brunn, An.</t>
  </si>
  <si>
    <t>Dir E Gef 1-</t>
  </si>
  <si>
    <t>adv PersRat</t>
  </si>
  <si>
    <t>Brunner, St.</t>
  </si>
  <si>
    <t>Brunz, An.</t>
  </si>
  <si>
    <t>Bublitz, Th.</t>
  </si>
  <si>
    <t>Buchheim, Jö.</t>
  </si>
  <si>
    <t>Buchholz, Mi.</t>
  </si>
  <si>
    <t>Buchwaldt, St.</t>
  </si>
  <si>
    <t>Dir E Gef 1/City B-4</t>
  </si>
  <si>
    <t>Buchwaldt, Je.</t>
  </si>
  <si>
    <t>Buhlmann, Ro.</t>
  </si>
  <si>
    <t>Buk, Ma.</t>
  </si>
  <si>
    <t>Bukilic, Mi.</t>
  </si>
  <si>
    <t>Dir E Gef 1/Te- D/4</t>
  </si>
  <si>
    <t>Bullan, Pe.</t>
  </si>
  <si>
    <t>Bundt, Al.</t>
  </si>
  <si>
    <t>Burdack, Th.</t>
  </si>
  <si>
    <t>Dir E Gef 1/Te - TSD</t>
  </si>
  <si>
    <t>Burneleit, Di.</t>
  </si>
  <si>
    <t>Buske, Ti.</t>
  </si>
  <si>
    <t>Bussäus, Jö.</t>
  </si>
  <si>
    <t>Büsselmann, Si.</t>
  </si>
  <si>
    <t>Cabuk, Ya.</t>
  </si>
  <si>
    <t>Cajar, Ni.</t>
  </si>
  <si>
    <t>Dir E Gef 1/Te- A/4</t>
  </si>
  <si>
    <t>Carollo, Ja.</t>
  </si>
  <si>
    <t>Cegla, Gr.</t>
  </si>
  <si>
    <t>Dir E Gef 01/12</t>
  </si>
  <si>
    <t>Christ, Ge.</t>
  </si>
  <si>
    <t>Cieszynski, Ch.</t>
  </si>
  <si>
    <t>Czarnecki, Mi.</t>
  </si>
  <si>
    <t>Däbel, Ol.</t>
  </si>
  <si>
    <t>Dasuev, Ru.</t>
  </si>
  <si>
    <t>Debek, Ma.</t>
  </si>
  <si>
    <t>Demir, Er.</t>
  </si>
  <si>
    <t>Denkmann, Mi.</t>
  </si>
  <si>
    <t>Denkmann, Re.</t>
  </si>
  <si>
    <t>Dennhardt, El.</t>
  </si>
  <si>
    <t>Deutschländer, Co.</t>
  </si>
  <si>
    <t>Diekfoß, Re.</t>
  </si>
  <si>
    <t>Diem, In.</t>
  </si>
  <si>
    <t>Dir E Gef 1/Te - TD</t>
  </si>
  <si>
    <t>Diester, No.</t>
  </si>
  <si>
    <t>Dietzsch, Ka.</t>
  </si>
  <si>
    <t>Dinc, Se.</t>
  </si>
  <si>
    <t>Dittrich, An.</t>
  </si>
  <si>
    <t>Dobbermann, No.</t>
  </si>
  <si>
    <t>Döhnert, He.</t>
  </si>
  <si>
    <t>Dohrmann, Fr.</t>
  </si>
  <si>
    <t>Domnick, Ma.</t>
  </si>
  <si>
    <t>Dorau, Sa.</t>
  </si>
  <si>
    <t>Dir E Dir 1/Te-  B/4</t>
  </si>
  <si>
    <t>Döring, Ka.</t>
  </si>
  <si>
    <t>Dreger , Ma.</t>
  </si>
  <si>
    <t>Dir E Gef 01/41</t>
  </si>
  <si>
    <t>Drews, Ge.</t>
  </si>
  <si>
    <t>Dir E Gef 1/NO -  D/4</t>
  </si>
  <si>
    <t>Dubberstein, Ma.</t>
  </si>
  <si>
    <t>Ducke, De.</t>
  </si>
  <si>
    <t>Duderstedt, An.</t>
  </si>
  <si>
    <t>Eckert, Ma.</t>
  </si>
  <si>
    <t>Dir E Gef 1/NO - B/4</t>
  </si>
  <si>
    <t>Ehnert, Lu.</t>
  </si>
  <si>
    <t>Ehwald, Pe.</t>
  </si>
  <si>
    <t>Eichhorn, An.</t>
  </si>
  <si>
    <t>Eichner, Jö.</t>
  </si>
  <si>
    <t>Dir E Dir 1/Te- B/4</t>
  </si>
  <si>
    <t>Eichstädt, La.</t>
  </si>
  <si>
    <t>Dir E Gef 1/ City D/4</t>
  </si>
  <si>
    <t>Eis, Wo.</t>
  </si>
  <si>
    <t>Ekert, Kr.</t>
  </si>
  <si>
    <t>Emkow-Darod, El.</t>
  </si>
  <si>
    <t>Enders, Ma.</t>
  </si>
  <si>
    <t>Engel, Fr.</t>
  </si>
  <si>
    <t>Engel, Ke.</t>
  </si>
  <si>
    <t>Engert, Ul.</t>
  </si>
  <si>
    <t>Dir E Gef 1 - NO</t>
  </si>
  <si>
    <t>Innendienst - keine Waffe</t>
  </si>
  <si>
    <t>Epperlein, An.</t>
  </si>
  <si>
    <t>Erdmann, Da.</t>
  </si>
  <si>
    <t>Eris, Fa.</t>
  </si>
  <si>
    <t>Ertelt, Ma.</t>
  </si>
  <si>
    <t>Dir E Gef 1/W- D/4</t>
  </si>
  <si>
    <t>Eskin, Be.</t>
  </si>
  <si>
    <t>Fassing, Ma.</t>
  </si>
  <si>
    <t>Ferch, Gu.</t>
  </si>
  <si>
    <t>Dir E Gef 02</t>
  </si>
  <si>
    <t>Fettke, Fr.</t>
  </si>
  <si>
    <t>Fichtmüller, Mi.</t>
  </si>
  <si>
    <t>Fielitz, Mo.</t>
  </si>
  <si>
    <t>Dir E Gef 1/West - B/4</t>
  </si>
  <si>
    <t>Filla, Ma.</t>
  </si>
  <si>
    <t>Fiolka, Ed.</t>
  </si>
  <si>
    <t>Dir E Gef 1/Te-B/C</t>
  </si>
  <si>
    <t>Fischer, Mi.</t>
  </si>
  <si>
    <t>Fischer, Ma.</t>
  </si>
  <si>
    <t>Dir E Gef 1/City -B/4</t>
  </si>
  <si>
    <t>Flathe, Gü.</t>
  </si>
  <si>
    <t>Flauder, Be.</t>
  </si>
  <si>
    <t>Föllner, Ho.</t>
  </si>
  <si>
    <t>Förster, Ge.</t>
  </si>
  <si>
    <t>Frank, Th.</t>
  </si>
  <si>
    <t>Dir E Gef1/ City - A/4</t>
  </si>
  <si>
    <t>Franke, Uw.</t>
  </si>
  <si>
    <t>Franke, Ha.</t>
  </si>
  <si>
    <t>Friedrich, Be.</t>
  </si>
  <si>
    <t>Fritsche, Ch.</t>
  </si>
  <si>
    <t>Fritze, Ma.</t>
  </si>
  <si>
    <t>Fuhrmann, An.</t>
  </si>
  <si>
    <t>Dir E Gef 1/City - TD</t>
  </si>
  <si>
    <t>Gabler, Ti.</t>
  </si>
  <si>
    <t>Gallus, Ra.</t>
  </si>
  <si>
    <t>Dir E Dir 1/Te- D/4</t>
  </si>
  <si>
    <t>Ganz, An.</t>
  </si>
  <si>
    <t>Garbowska-Reile, Be.</t>
  </si>
  <si>
    <t>Dir E Gef 1/Te C-4</t>
  </si>
  <si>
    <t>Gaudnek, Ev.</t>
  </si>
  <si>
    <t>Gebert, Ro.</t>
  </si>
  <si>
    <t>Gehre, An.</t>
  </si>
  <si>
    <t>Dir 5</t>
  </si>
  <si>
    <t>Gensing, Ge.</t>
  </si>
  <si>
    <t>adV ZSE II B 37</t>
  </si>
  <si>
    <t>Gering, Ka.</t>
  </si>
  <si>
    <t>Giebson, Pe.</t>
  </si>
  <si>
    <t>Gierszewski, Pe.</t>
  </si>
  <si>
    <t>Giese, Jü.</t>
  </si>
  <si>
    <t>Giese, To.</t>
  </si>
  <si>
    <t>Dir E Gef 1/Te C/4</t>
  </si>
  <si>
    <t>Gläske, Re.</t>
  </si>
  <si>
    <t>Glienecke , Ma.</t>
  </si>
  <si>
    <t>Gnodtke, Ka.</t>
  </si>
  <si>
    <t>Goebel, Ol.</t>
  </si>
  <si>
    <t>Goerke, Ra.</t>
  </si>
  <si>
    <t>Goller, Lo.</t>
  </si>
  <si>
    <t>Gollnow, Re.</t>
  </si>
  <si>
    <t>Gottschalk, Uw.</t>
  </si>
  <si>
    <t>Graefe- Singer, Uw.</t>
  </si>
  <si>
    <t>Gralow, Jö.</t>
  </si>
  <si>
    <t>Greiser, Me.</t>
  </si>
  <si>
    <t>Gresens, Wa.</t>
  </si>
  <si>
    <t>Griesmeier, Mi.</t>
  </si>
  <si>
    <t>Grundstein, Mi.</t>
  </si>
  <si>
    <t>Grüttner, Ma.</t>
  </si>
  <si>
    <t>Grützke, Ro.</t>
  </si>
  <si>
    <t>Dir E Gef 1/City -D/4</t>
  </si>
  <si>
    <t>Grzyb, Th.</t>
  </si>
  <si>
    <t>Günther, An.</t>
  </si>
  <si>
    <t>Gürth, Rü.</t>
  </si>
  <si>
    <t>Gürth, To.</t>
  </si>
  <si>
    <t>Dir E Gef 1/City D-4</t>
  </si>
  <si>
    <t>Gürtler, Th.</t>
  </si>
  <si>
    <t xml:space="preserve">Dir E Gef 1/NO - D/4 </t>
  </si>
  <si>
    <t>Gust, St.</t>
  </si>
  <si>
    <t>Gustke, Ma.</t>
  </si>
  <si>
    <t>Guthke, Ma.</t>
  </si>
  <si>
    <t>Gutmann, Kl.</t>
  </si>
  <si>
    <t>Gutzeit, Uw.</t>
  </si>
  <si>
    <t>Gwozdz, Da.</t>
  </si>
  <si>
    <t>Haack, An.</t>
  </si>
  <si>
    <t>Hagemann, An.</t>
  </si>
  <si>
    <t>Hammer, Th.</t>
  </si>
  <si>
    <t>Handte , Ma.</t>
  </si>
  <si>
    <t>Hanisch, Fr.</t>
  </si>
  <si>
    <t>Hanke, Sa.</t>
  </si>
  <si>
    <t>Hannemann, Di.</t>
  </si>
  <si>
    <t>Harenberg, He.</t>
  </si>
  <si>
    <t>Harmuth, Du.</t>
  </si>
  <si>
    <t>Hartkopf, Ke.</t>
  </si>
  <si>
    <t>Hartmann, Uw.</t>
  </si>
  <si>
    <t>Hartmann, Re.</t>
  </si>
  <si>
    <t>Dir E Gef 1/C- C/4</t>
  </si>
  <si>
    <t>Hartmer, Rü.</t>
  </si>
  <si>
    <t>Haucke, Mi.</t>
  </si>
  <si>
    <t>Dir E Gef 3 - TD</t>
  </si>
  <si>
    <t>Heinrich, Mi.</t>
  </si>
  <si>
    <t>Heinrichs, Pe.</t>
  </si>
  <si>
    <t>Heise, Ev.</t>
  </si>
  <si>
    <t>Heise, Wo.</t>
  </si>
  <si>
    <t>Heister, Mo.</t>
  </si>
  <si>
    <t>Hekke, Yv.</t>
  </si>
  <si>
    <t>Helmig, Th.</t>
  </si>
  <si>
    <t>Hennemann, Fr.</t>
  </si>
  <si>
    <t>Hennig, Ro.</t>
  </si>
  <si>
    <t>Herker, Fr.</t>
  </si>
  <si>
    <t>Herngreen, Ra.</t>
  </si>
  <si>
    <t>Herrmann, Fr.</t>
  </si>
  <si>
    <t>Herrmann, Ri.</t>
  </si>
  <si>
    <t>Herrmann (ehem. Schneider), An.</t>
  </si>
  <si>
    <t>Hiebendahl, Kl.</t>
  </si>
  <si>
    <t>Hilliges, Dj.</t>
  </si>
  <si>
    <t>Hindrichsen, Ho.</t>
  </si>
  <si>
    <t>Hoffmann, Ra.</t>
  </si>
  <si>
    <t>Holike, Ha.</t>
  </si>
  <si>
    <t>Höpner, Ja.</t>
  </si>
  <si>
    <t>Hoppe, Me.</t>
  </si>
  <si>
    <t>Hüpenbecker, Cl.</t>
  </si>
  <si>
    <t>Huth, Jö.</t>
  </si>
  <si>
    <t>Imm, Th.</t>
  </si>
  <si>
    <t>Isensee, Ro.</t>
  </si>
  <si>
    <t>ZOS</t>
  </si>
  <si>
    <t>Jäckel, Ch.</t>
  </si>
  <si>
    <t>Jacob, Ma.</t>
  </si>
  <si>
    <t>Jaeckel, Lu.</t>
  </si>
  <si>
    <t>Dir E Gef 01/21</t>
  </si>
  <si>
    <t>Jäger, Pe.</t>
  </si>
  <si>
    <t>Jahn, Ma.</t>
  </si>
  <si>
    <t>Jahnke, Bu.</t>
  </si>
  <si>
    <t>adV ZOS</t>
  </si>
  <si>
    <t>Jahnke, Ro.</t>
  </si>
  <si>
    <t>Dir E Dir 1/Te-  A/4</t>
  </si>
  <si>
    <t>Jakupovic, Be.</t>
  </si>
  <si>
    <t>Jandt, Ra.</t>
  </si>
  <si>
    <t>Janke, St.</t>
  </si>
  <si>
    <t>Jokisch, Fr.</t>
  </si>
  <si>
    <t>Joschko, Ra.</t>
  </si>
  <si>
    <t>Jost, Ga.</t>
  </si>
  <si>
    <t>Kaba, Mo.</t>
  </si>
  <si>
    <t>Dir E  Gef 1/ Te</t>
  </si>
  <si>
    <t>Kabus, Ca.</t>
  </si>
  <si>
    <t>Kaiser, Be.</t>
  </si>
  <si>
    <t>Kaletsch             , Ga.</t>
  </si>
  <si>
    <t>Kannenberg, Re.</t>
  </si>
  <si>
    <t>Kapale, Ma.</t>
  </si>
  <si>
    <t>Karsli, Ah.</t>
  </si>
  <si>
    <t>Kattirs, Da.</t>
  </si>
  <si>
    <t>Kawka, Ca.</t>
  </si>
  <si>
    <t>Dir E Gef 1/Te TSD B/C</t>
  </si>
  <si>
    <t>Keck , Si.</t>
  </si>
  <si>
    <t>Kendzia, Ka.</t>
  </si>
  <si>
    <t>Kersten, Ho.</t>
  </si>
  <si>
    <t>Keßler, Ma.</t>
  </si>
  <si>
    <t>Ketter, Ra.</t>
  </si>
  <si>
    <t>Kintzel, Ma.</t>
  </si>
  <si>
    <t>Kirchhoff, An.</t>
  </si>
  <si>
    <t>Kirli, On.</t>
  </si>
  <si>
    <t>Kitzmann, Ma.</t>
  </si>
  <si>
    <t>Klamann, Re.</t>
  </si>
  <si>
    <t>Kleemann, Th.</t>
  </si>
  <si>
    <t>Kleinert, Ka.</t>
  </si>
  <si>
    <t>Klinkert, Pe.</t>
  </si>
  <si>
    <t>Dir E Gef 1/KhD</t>
  </si>
  <si>
    <t>Klopp, Bo.</t>
  </si>
  <si>
    <t>Klopsteg, St.</t>
  </si>
  <si>
    <t>Knuth, Ch.</t>
  </si>
  <si>
    <t>Koeppe, Sa.</t>
  </si>
  <si>
    <t>Müller, Ma.</t>
  </si>
  <si>
    <t>Müller-Galitzki, Ta.</t>
  </si>
  <si>
    <t>Münch, Ha.</t>
  </si>
  <si>
    <t>adV ZSE II B 3</t>
  </si>
  <si>
    <t>Munke, Ol.</t>
  </si>
  <si>
    <t>Dir E Gef 1/Te -A/4</t>
  </si>
  <si>
    <t>Münzberg, De.</t>
  </si>
  <si>
    <t>Nagel , De.</t>
  </si>
  <si>
    <t>Nemitz, Fr.</t>
  </si>
  <si>
    <t>Neuenfeldt, An.</t>
  </si>
  <si>
    <t>Neumann, Mi.</t>
  </si>
  <si>
    <t>Neumann, Ka.</t>
  </si>
  <si>
    <t>Neumann, Ma.</t>
  </si>
  <si>
    <t>Neumann, An.</t>
  </si>
  <si>
    <t>Neye, Ca.</t>
  </si>
  <si>
    <t>Nickel, Ar.</t>
  </si>
  <si>
    <t>Niederau, St.</t>
  </si>
  <si>
    <t>Niepelt, An.</t>
  </si>
  <si>
    <t>adV SE Pers D 11</t>
  </si>
  <si>
    <t>Noack, Pe.</t>
  </si>
  <si>
    <t>Noack, De.</t>
  </si>
  <si>
    <t>Nolte, Wi.</t>
  </si>
  <si>
    <t>Noske, Ma.</t>
  </si>
  <si>
    <t>Nowack, En.</t>
  </si>
  <si>
    <t>Nowak, St.</t>
  </si>
  <si>
    <t>Nusche, Se.</t>
  </si>
  <si>
    <t>Ohl, Fr.</t>
  </si>
  <si>
    <t>Olschewski, Bo.</t>
  </si>
  <si>
    <t>Omari, Bj.</t>
  </si>
  <si>
    <t>Dir E  Gef 1/ Te - C/4</t>
  </si>
  <si>
    <t>Opalka, Al.</t>
  </si>
  <si>
    <t>Oral, Ca.</t>
  </si>
  <si>
    <t>Orczik, Ul.</t>
  </si>
  <si>
    <t>Ossowski, Mi.</t>
  </si>
  <si>
    <t>Ostrowski, Ma.</t>
  </si>
  <si>
    <t>Osygus, Di.</t>
  </si>
  <si>
    <t>Ott, Ca.</t>
  </si>
  <si>
    <t>Özerdem, Hü.</t>
  </si>
  <si>
    <t>Pachura, Ma.</t>
  </si>
  <si>
    <t>Pagel, Ga.</t>
  </si>
  <si>
    <t>Pähle, To.</t>
  </si>
  <si>
    <t>Panitzsch, Ro.</t>
  </si>
  <si>
    <t>Panse, Ma.</t>
  </si>
  <si>
    <t>adV LKA KT 011</t>
  </si>
  <si>
    <t>Pape, Ro.</t>
  </si>
  <si>
    <t>Parlitz, Mi.</t>
  </si>
  <si>
    <t>Pätsch, To.</t>
  </si>
  <si>
    <t>Pauls, Cl.</t>
  </si>
  <si>
    <t>Pawlitschko, Da.</t>
  </si>
  <si>
    <t>Perschmann (ehem. Meyer), Pe.</t>
  </si>
  <si>
    <t>Pesch, To.</t>
  </si>
  <si>
    <t>Piehler, Lu.</t>
  </si>
  <si>
    <t>Pieper, Ro.</t>
  </si>
  <si>
    <t>Dir E Gef 01</t>
  </si>
  <si>
    <t>Pilz, Ol.</t>
  </si>
  <si>
    <t>Pingel, Jö.</t>
  </si>
  <si>
    <t>Plähn, Ca.</t>
  </si>
  <si>
    <t>Dir E Gef 01/31</t>
  </si>
  <si>
    <t>Pöhls, Se.</t>
  </si>
  <si>
    <t>Pommer, He.</t>
  </si>
  <si>
    <t>Popov, Ge.</t>
  </si>
  <si>
    <t>Poßolky, St.</t>
  </si>
  <si>
    <t>Dir E Gef1/City - B/4</t>
  </si>
  <si>
    <t>Poszwa, Mi.</t>
  </si>
  <si>
    <t>Pötter, Ro.</t>
  </si>
  <si>
    <t>Personalrat</t>
  </si>
  <si>
    <t>Prötzsch, Bj.</t>
  </si>
  <si>
    <t>Dir E Gef 1/NO A/4</t>
  </si>
  <si>
    <t>Pyka, Pa.</t>
  </si>
  <si>
    <t>Quednau, St.</t>
  </si>
  <si>
    <t>Dir E Gef 1/ City</t>
  </si>
  <si>
    <t>Raasch, An.</t>
  </si>
  <si>
    <t>Dir E Gef 1/KhD A/4</t>
  </si>
  <si>
    <t>Rakow, Ju.</t>
  </si>
  <si>
    <t>Rast, Ma.</t>
  </si>
  <si>
    <t>Rath, An.</t>
  </si>
  <si>
    <t>Rathge-Cravan, Ro.</t>
  </si>
  <si>
    <t>Hospi Dir E Stab 3</t>
  </si>
  <si>
    <t>Rauschenberg, An.</t>
  </si>
  <si>
    <t>Reddel, Kl.</t>
  </si>
  <si>
    <t>Redetzky, Fa.</t>
  </si>
  <si>
    <t>Reichardt, Re.</t>
  </si>
  <si>
    <t>Reichert, Ca.</t>
  </si>
  <si>
    <t>Reinema ehem. Vetter, Re.</t>
  </si>
  <si>
    <t>Reinhard, Ol.</t>
  </si>
  <si>
    <t>Reinsdorf, Re.</t>
  </si>
  <si>
    <t>Reisener, Ch.</t>
  </si>
  <si>
    <t>Renner, Mi.</t>
  </si>
  <si>
    <t>Reppien, To.</t>
  </si>
  <si>
    <t>Reschke, Se.</t>
  </si>
  <si>
    <t>Retzlow, Th.</t>
  </si>
  <si>
    <t>Richter, Fr.</t>
  </si>
  <si>
    <t>keine Waffe, adV ZSE II A 33</t>
  </si>
  <si>
    <t>Riedel, Sv.</t>
  </si>
  <si>
    <t>Riedel, Bj.</t>
  </si>
  <si>
    <t>Riehl, He.</t>
  </si>
  <si>
    <t>Ritsche, Da.</t>
  </si>
  <si>
    <t>Verw. Gef 32</t>
  </si>
  <si>
    <t>Rocek, Ko.</t>
  </si>
  <si>
    <t>Rogall, Rü.</t>
  </si>
  <si>
    <t>Roggatz, De.</t>
  </si>
  <si>
    <t>Rogge, Fr.</t>
  </si>
  <si>
    <t>Rolke, Ka.</t>
  </si>
  <si>
    <t>Rosenbaum, Ro.</t>
  </si>
  <si>
    <t>Rosenthal, Kl.</t>
  </si>
  <si>
    <t>Röser, Di.</t>
  </si>
  <si>
    <t>Rosipka, Pe.</t>
  </si>
  <si>
    <t>Rösler, Ra.</t>
  </si>
  <si>
    <t>Rosoli, Kl.</t>
  </si>
  <si>
    <t>Roßberg, Ge.</t>
  </si>
  <si>
    <t>Rothe, Jü.</t>
  </si>
  <si>
    <t>Rothe, Ro.</t>
  </si>
  <si>
    <t>Rother, Fr.</t>
  </si>
  <si>
    <t>Rückheim, An.</t>
  </si>
  <si>
    <t>Dir E Gef 01/4</t>
  </si>
  <si>
    <t>Rüdiger, Be.</t>
  </si>
  <si>
    <t>Ruppert, Jo.</t>
  </si>
  <si>
    <t>Rybarczyk, Di.</t>
  </si>
  <si>
    <t>Salamon, Ro.</t>
  </si>
  <si>
    <t>Salm, De.</t>
  </si>
  <si>
    <t>Sander, An.</t>
  </si>
  <si>
    <t>Sarnow, Uw.</t>
  </si>
  <si>
    <t>Sattler, Pe.</t>
  </si>
  <si>
    <t>Schadenberg, Lu.</t>
  </si>
  <si>
    <t>Schäfer, An.</t>
  </si>
  <si>
    <t>Schappler, De.</t>
  </si>
  <si>
    <t>seit 11.03.2017 ZOS</t>
  </si>
  <si>
    <t>Scharr, Th.</t>
  </si>
  <si>
    <t>Schattenberg, Ha.</t>
  </si>
  <si>
    <t>Scheffler, Re.</t>
  </si>
  <si>
    <t>Scheffler, We.</t>
  </si>
  <si>
    <t>Scheidig, An.</t>
  </si>
  <si>
    <t>Scheifler, Jö.</t>
  </si>
  <si>
    <t>Schildt, Er.</t>
  </si>
  <si>
    <t>Schildt, Ha.</t>
  </si>
  <si>
    <t>Dir E Gef 01/5</t>
  </si>
  <si>
    <t>Schindler, Th.</t>
  </si>
  <si>
    <t>Schlieben, Ka.</t>
  </si>
  <si>
    <t>Dir E Gef 1/SW- B/4</t>
  </si>
  <si>
    <t>Schmandra, Pe.</t>
  </si>
  <si>
    <t>Schmelzer, Jö.</t>
  </si>
  <si>
    <t>Schmidt, Ja.</t>
  </si>
  <si>
    <t>Schmidt, Ch.</t>
  </si>
  <si>
    <t>Schmidt, Ga.</t>
  </si>
  <si>
    <t>Schmidt, Cl.</t>
  </si>
  <si>
    <t>Schmidt, An.</t>
  </si>
  <si>
    <t>Schmidt, Ma.</t>
  </si>
  <si>
    <t>Schmidt, Al.</t>
  </si>
  <si>
    <t>Schmitz, Ev.</t>
  </si>
  <si>
    <t>Schneider, Ga.</t>
  </si>
  <si>
    <t>Schneider, Fr.</t>
  </si>
  <si>
    <t>Schnüber, Th.</t>
  </si>
  <si>
    <t>Schöberl, No.</t>
  </si>
  <si>
    <t>Bekleidungskammer</t>
  </si>
  <si>
    <t>Schollmeier, He.</t>
  </si>
  <si>
    <t>Scholz, Je.</t>
  </si>
  <si>
    <t>Dir E Gef 01/3</t>
  </si>
  <si>
    <t>Schönefeld, Ca.</t>
  </si>
  <si>
    <t xml:space="preserve">Dir E Gef 1 - </t>
  </si>
  <si>
    <t>Schreiber, St.</t>
  </si>
  <si>
    <t>Schreier, An.</t>
  </si>
  <si>
    <t>Schröder, Jö.</t>
  </si>
  <si>
    <t>Schröder, An.</t>
  </si>
  <si>
    <t>Schrom, Me.</t>
  </si>
  <si>
    <t>ELZ</t>
  </si>
  <si>
    <t>Schüle, St.</t>
  </si>
  <si>
    <t>Schüle, Ma.</t>
  </si>
  <si>
    <t>Schullig, Kl.</t>
  </si>
  <si>
    <t>adV LKA 1</t>
  </si>
  <si>
    <t>Schultz, Al.</t>
  </si>
  <si>
    <t>Schulz, Kl.</t>
  </si>
  <si>
    <t>Schulz, Lu.</t>
  </si>
  <si>
    <t>Schulz, Be.</t>
  </si>
  <si>
    <t>Schulz, Mi.</t>
  </si>
  <si>
    <t>Schulz, Ch.</t>
  </si>
  <si>
    <t>Schulze, Bä.</t>
  </si>
  <si>
    <t>Schünemann, Ch.</t>
  </si>
  <si>
    <t>Schust, Ma.</t>
  </si>
  <si>
    <t>Schuster, An.</t>
  </si>
  <si>
    <t>Schwalbe, Re.</t>
  </si>
  <si>
    <t>Schwalm, Si.</t>
  </si>
  <si>
    <t>Schwan, An.</t>
  </si>
  <si>
    <t xml:space="preserve">Dir E Gef 1/City - C/4 </t>
  </si>
  <si>
    <t>Schwartz, Ro.</t>
  </si>
  <si>
    <t>Schwarz, In.</t>
  </si>
  <si>
    <t>Schwarz, Ma.</t>
  </si>
  <si>
    <t>Schwarzer, Re.</t>
  </si>
  <si>
    <t>Schwietzke, Ka.</t>
  </si>
  <si>
    <t>Schwörke, To.</t>
  </si>
  <si>
    <t>Senger, Mi.</t>
  </si>
  <si>
    <t>Sieg, Ni.</t>
  </si>
  <si>
    <t>Simon, Jo.</t>
  </si>
  <si>
    <t>Skamira, Ge.</t>
  </si>
  <si>
    <t xml:space="preserve">Dir E Gef 02 </t>
  </si>
  <si>
    <t>Sokat, Jö.</t>
  </si>
  <si>
    <t>Solga, Re.</t>
  </si>
  <si>
    <t>Sommer, Mi.</t>
  </si>
  <si>
    <t>Sommerfeld, Mi.</t>
  </si>
  <si>
    <t>Sonnenberg, Ch.</t>
  </si>
  <si>
    <t>Sosna, Jö.</t>
  </si>
  <si>
    <t>Sowa, Fr.</t>
  </si>
  <si>
    <t>Spehr, Ma.</t>
  </si>
  <si>
    <t>Spittler, Re.</t>
  </si>
  <si>
    <t>Sprakties, An.</t>
  </si>
  <si>
    <t>Stammnitz, Th.</t>
  </si>
  <si>
    <t>Stark, Th.</t>
  </si>
  <si>
    <t xml:space="preserve">Dir E Gef 1/SW - D/4 </t>
  </si>
  <si>
    <t>Stefanovic, Zo.</t>
  </si>
  <si>
    <t>Steffen, Gr.</t>
  </si>
  <si>
    <t>Steffens, Ka.</t>
  </si>
  <si>
    <t>Steinbrück-Beeck, Li.</t>
  </si>
  <si>
    <t>Stenzel, Ra.</t>
  </si>
  <si>
    <t>Stenzel, Jö.</t>
  </si>
  <si>
    <t>Stielow, Wo.</t>
  </si>
  <si>
    <t>Dir E Gef 1/SW - TD</t>
  </si>
  <si>
    <t>Stielow, Me.</t>
  </si>
  <si>
    <t>Dir E  Gef 1/ City</t>
  </si>
  <si>
    <t>Stiller, Ni.</t>
  </si>
  <si>
    <t>Stitz, An.</t>
  </si>
  <si>
    <t>Dir E Gef 32</t>
  </si>
  <si>
    <t>Stoll, Mi.</t>
  </si>
  <si>
    <t>Strauch, Al.</t>
  </si>
  <si>
    <t>Strauß, Jo.</t>
  </si>
  <si>
    <t>Stüben, Be.</t>
  </si>
  <si>
    <t>Stüber, Mi.</t>
  </si>
  <si>
    <t>Stückl, Kl.</t>
  </si>
  <si>
    <t>Sturzebecher, Fr.</t>
  </si>
  <si>
    <t>adV ZSE III - LaStDF</t>
  </si>
  <si>
    <t>Stutz, Ha.</t>
  </si>
  <si>
    <t>Styn, Th.</t>
  </si>
  <si>
    <t>Szepanski, Do.</t>
  </si>
  <si>
    <t>Taukchi, Ge.</t>
  </si>
  <si>
    <t>Dir E  Gef 1/ NO A/4</t>
  </si>
  <si>
    <t>Teppner, Uw.</t>
  </si>
  <si>
    <t>Thäns, Ma.</t>
  </si>
  <si>
    <t>Thiele, Ma.</t>
  </si>
  <si>
    <t>Thiele, Vi.</t>
  </si>
  <si>
    <t>Thiem, In.</t>
  </si>
  <si>
    <t>Thiem, Ax.</t>
  </si>
  <si>
    <t>Thiem, De.</t>
  </si>
  <si>
    <t>Thom, Al.</t>
  </si>
  <si>
    <t>Thomas, Ja.</t>
  </si>
  <si>
    <t>Thomas, Pa.</t>
  </si>
  <si>
    <t>Dir E  Gef 1/ Te - A/4</t>
  </si>
  <si>
    <t>Thulke, Al.</t>
  </si>
  <si>
    <t>Thureaux, Yv.</t>
  </si>
  <si>
    <t>Ticks, Ro.</t>
  </si>
  <si>
    <t>Tiede, Je.</t>
  </si>
  <si>
    <t>Tiede, Sa.</t>
  </si>
  <si>
    <t>Tietze, Mi.</t>
  </si>
  <si>
    <t>Tittler, Ha.</t>
  </si>
  <si>
    <t>Topcu, Ya.</t>
  </si>
  <si>
    <t>Trenner, Wo.</t>
  </si>
  <si>
    <t>Treue, He.</t>
  </si>
  <si>
    <t>Trinh, Ma.</t>
  </si>
  <si>
    <t>Dir E  Gef 1/ City A/4</t>
  </si>
  <si>
    <t>Tschuschke, An.</t>
  </si>
  <si>
    <t>Turowski, Ax.</t>
  </si>
  <si>
    <t>Tutzschke, Fr.</t>
  </si>
  <si>
    <t>Udovcic, Iv.</t>
  </si>
  <si>
    <t>Ullrich, Ma.</t>
  </si>
  <si>
    <t>Ulrich, As.</t>
  </si>
  <si>
    <t>Ulutürk, Ar.</t>
  </si>
  <si>
    <t>Unterwalder, Ga.</t>
  </si>
  <si>
    <t>Ural, Mu.</t>
  </si>
  <si>
    <t>Uzun, Si.</t>
  </si>
  <si>
    <t>Dir E Gef 1/KhD -D/4</t>
  </si>
  <si>
    <t>Vita, Na.</t>
  </si>
  <si>
    <t>Voeste, Ru.</t>
  </si>
  <si>
    <t>Voge, Ma.</t>
  </si>
  <si>
    <t>Volkmann, Sv.</t>
  </si>
  <si>
    <t>Volpini, An.</t>
  </si>
  <si>
    <t>Vorbringer (ehemals Jung), Co.</t>
  </si>
  <si>
    <t>Voß, Ho.</t>
  </si>
  <si>
    <t>Wache, Fr.</t>
  </si>
  <si>
    <t>Wachholz, Ha.</t>
  </si>
  <si>
    <t>Wachsmuth, In.</t>
  </si>
  <si>
    <t>Wackes, Na.</t>
  </si>
  <si>
    <t>Dir E Gef1/Te - D/4</t>
  </si>
  <si>
    <t>Wackes, Je.</t>
  </si>
  <si>
    <t>Dir E Dir 1/City- B/4</t>
  </si>
  <si>
    <t>Wagner, Ho.</t>
  </si>
  <si>
    <t>Walter, Ax.</t>
  </si>
  <si>
    <t>Walter, Ta.</t>
  </si>
  <si>
    <t>Walter, Ka.</t>
  </si>
  <si>
    <t>Walter, Ut.</t>
  </si>
  <si>
    <t>Wanzlik, Mi.</t>
  </si>
  <si>
    <t>Wappenhans-Rohde, Th.</t>
  </si>
  <si>
    <t>Wappler, Di.</t>
  </si>
  <si>
    <t>Dir E Gef 1/Te -D/4</t>
  </si>
  <si>
    <t>Wappler, Ku.</t>
  </si>
  <si>
    <t>Ward, Al.</t>
  </si>
  <si>
    <t>Dir E  Gef 1/ Te- B/4</t>
  </si>
  <si>
    <t>Waschke, Be.</t>
  </si>
  <si>
    <t>Wawrok, Lu.</t>
  </si>
  <si>
    <t>Wawrok, Di.</t>
  </si>
  <si>
    <t>Wegener, Di.</t>
  </si>
  <si>
    <t>Wegner , Di.</t>
  </si>
  <si>
    <t>Wegner , Sö.</t>
  </si>
  <si>
    <t>Weidemann, Th.</t>
  </si>
  <si>
    <t>Dir E Gef 1/City A/4</t>
  </si>
  <si>
    <t>Weise, Ve.</t>
  </si>
  <si>
    <t>Weiß, Gu.</t>
  </si>
  <si>
    <t>Weißberg, Th.</t>
  </si>
  <si>
    <t>Welsch, Th.</t>
  </si>
  <si>
    <t>Wenkel, Al.</t>
  </si>
  <si>
    <t>Wenzel, Ma.</t>
  </si>
  <si>
    <t>Werner, Ha.</t>
  </si>
  <si>
    <t>Werner, Ax.</t>
  </si>
  <si>
    <t>Wernhard, Mi.</t>
  </si>
  <si>
    <t>Werther, Ol.</t>
  </si>
  <si>
    <t>Wessel, An.</t>
  </si>
  <si>
    <t>Wetzel, Ra.</t>
  </si>
  <si>
    <t>Wetzel, Ax.</t>
  </si>
  <si>
    <t>Dir E Gef 01/22</t>
  </si>
  <si>
    <t>Wichmann, Fr.</t>
  </si>
  <si>
    <t>Wichura, Re.</t>
  </si>
  <si>
    <t>Wiegandt, Fr.</t>
  </si>
  <si>
    <t>Wienholtz, Ke.</t>
  </si>
  <si>
    <t>Wilde, An.</t>
  </si>
  <si>
    <t>Willberg, Kl.</t>
  </si>
  <si>
    <t>Wille, Kn.</t>
  </si>
  <si>
    <t>Dir E Gef 1/SO - A/4</t>
  </si>
  <si>
    <t>adV A 22</t>
  </si>
  <si>
    <t>Willy, Mi.</t>
  </si>
  <si>
    <t>Winkelmann, Mi.</t>
  </si>
  <si>
    <t>Waffebtrageverbot</t>
  </si>
  <si>
    <t>Winkens, Pe.</t>
  </si>
  <si>
    <t>Wloch, Da.</t>
  </si>
  <si>
    <t>Wobring, Th.</t>
  </si>
  <si>
    <t>Wodrich, We.</t>
  </si>
  <si>
    <t>Wohlers, Me.</t>
  </si>
  <si>
    <t>Wonnenberg, An.</t>
  </si>
  <si>
    <t>Wudtke, Jö.</t>
  </si>
  <si>
    <t>Wulff, Ol.</t>
  </si>
  <si>
    <t>Wunderlich, Wo.</t>
  </si>
  <si>
    <t>Dir E Gef 1/Te</t>
  </si>
  <si>
    <t>Yildirim, Bo.</t>
  </si>
  <si>
    <t>Zander, Ma.</t>
  </si>
  <si>
    <t>Zehnder, Ud.</t>
  </si>
  <si>
    <t>Zeiler, Da.</t>
  </si>
  <si>
    <t>Zeisler, Ol.</t>
  </si>
  <si>
    <t>Zenser, An.</t>
  </si>
  <si>
    <t>Zerbe, Fl.</t>
  </si>
  <si>
    <t>Zerbian, He.</t>
  </si>
  <si>
    <t xml:space="preserve">Dir E Gef 1/NO - B/4 </t>
  </si>
  <si>
    <t>Zetzsch, Ro.</t>
  </si>
  <si>
    <t>Zimmermann, Uw.</t>
  </si>
  <si>
    <t>Zolchow, Ka.</t>
  </si>
  <si>
    <t>Zörner, Jö.</t>
  </si>
  <si>
    <t>Zühlke, In.</t>
  </si>
  <si>
    <t>Ahrensdorf, Ma.</t>
  </si>
  <si>
    <t>Dir E WSP West</t>
  </si>
  <si>
    <t>Andrewitz, Ma.</t>
  </si>
  <si>
    <t>Dir E WSP ZVA 2</t>
  </si>
  <si>
    <t>Badke, Da.</t>
  </si>
  <si>
    <t>Dir E WSP Mitte</t>
  </si>
  <si>
    <t>Ballnow, Gu.</t>
  </si>
  <si>
    <t>Barz, Ra.</t>
  </si>
  <si>
    <t>Baumeister, Ka.</t>
  </si>
  <si>
    <t>Befeldt, He.</t>
  </si>
  <si>
    <t>Berger, To.</t>
  </si>
  <si>
    <t>Dir E WSP Ost</t>
  </si>
  <si>
    <t>Beyer, Na.</t>
  </si>
  <si>
    <t>Beyer, Pe.</t>
  </si>
  <si>
    <t>Binsch, Rü.</t>
  </si>
  <si>
    <t>Dir E WSP SG 01</t>
  </si>
  <si>
    <t>Blankenburg, Di.</t>
  </si>
  <si>
    <t>Bolm, Th.</t>
  </si>
  <si>
    <t>Bösener, Sv.</t>
  </si>
  <si>
    <t>Boortz, Ma.</t>
  </si>
  <si>
    <t>Braun, Ha.</t>
  </si>
  <si>
    <t>Breitung, Ol.</t>
  </si>
  <si>
    <t>Buschke, Bi.</t>
  </si>
  <si>
    <t>Cablitz, Ul.</t>
  </si>
  <si>
    <t>Caron, Et.</t>
  </si>
  <si>
    <t>Dir E WSP ZVA 3</t>
  </si>
  <si>
    <t>Corty, Ma.</t>
  </si>
  <si>
    <t>Dahlke, Da.</t>
  </si>
  <si>
    <t>Dautz, Ax.</t>
  </si>
  <si>
    <t>Dieckow, He.</t>
  </si>
  <si>
    <t>Dir E WSP L WSP</t>
  </si>
  <si>
    <t>Doering, Sv.</t>
  </si>
  <si>
    <t>Doliva, Fr.</t>
  </si>
  <si>
    <t>Domnik, Ha.</t>
  </si>
  <si>
    <t>Drieselmann, Bj.</t>
  </si>
  <si>
    <t>Ebert, Ri.</t>
  </si>
  <si>
    <t>Eichelbaum, Mi.</t>
  </si>
  <si>
    <t>Eichhorn, Da.</t>
  </si>
  <si>
    <t>Dir E WSP ZVA 1</t>
  </si>
  <si>
    <t>Elias, Be.</t>
  </si>
  <si>
    <t>Engelmann, Kn.</t>
  </si>
  <si>
    <t>Enseleit, Ho.</t>
  </si>
  <si>
    <t>Eschner, Fe.</t>
  </si>
  <si>
    <t>Falk, En.</t>
  </si>
  <si>
    <t>Feibicke, Di.</t>
  </si>
  <si>
    <t>Feistl, St.</t>
  </si>
  <si>
    <t>Feldkeller, Br.</t>
  </si>
  <si>
    <t>Fettchenhauer, Ka.</t>
  </si>
  <si>
    <t>Finkwitz, Er.</t>
  </si>
  <si>
    <t>Freißler, Bj.</t>
  </si>
  <si>
    <t>Freitag, Sa.</t>
  </si>
  <si>
    <t>Genz, Fl.</t>
  </si>
  <si>
    <t>Glaubig, Ma.</t>
  </si>
  <si>
    <t>Glienke, Ka.</t>
  </si>
  <si>
    <t>Glor, St.</t>
  </si>
  <si>
    <t>Goebel, Ch.</t>
  </si>
  <si>
    <t>Göttermann, Ro.</t>
  </si>
  <si>
    <t>Grimm, Ro.</t>
  </si>
  <si>
    <t>Grunow, Ol.</t>
  </si>
  <si>
    <t>Grunow, Sa.</t>
  </si>
  <si>
    <t>Gunkel, La.</t>
  </si>
  <si>
    <t>Hacker      , Mi.</t>
  </si>
  <si>
    <t>Hartung, Pe.</t>
  </si>
  <si>
    <t>Heinrich, Je.</t>
  </si>
  <si>
    <t>Hellmuth, An.</t>
  </si>
  <si>
    <t>Helmhold, Ch.</t>
  </si>
  <si>
    <t>Hemken, Jo.</t>
  </si>
  <si>
    <t>Henkel, Mi.</t>
  </si>
  <si>
    <t>Heymann, Bj.</t>
  </si>
  <si>
    <t>Höhnisch, Sv.</t>
  </si>
  <si>
    <t>Holz, Ja.</t>
  </si>
  <si>
    <t>Hübner, Ma.</t>
  </si>
  <si>
    <t>Dir E WSP SG 02</t>
  </si>
  <si>
    <t>Hügel, Mi.</t>
  </si>
  <si>
    <t>Jahn, Jü.</t>
  </si>
  <si>
    <t>Jänig, Sv.</t>
  </si>
  <si>
    <t>Jankowiak, An.</t>
  </si>
  <si>
    <t>Jentsch, Ro.</t>
  </si>
  <si>
    <t>Kaiser, La.</t>
  </si>
  <si>
    <t>Karlguth, St.</t>
  </si>
  <si>
    <t>Kilian, Ra.</t>
  </si>
  <si>
    <t>Kirsch, Fa.</t>
  </si>
  <si>
    <t>Kirschner, Ro.</t>
  </si>
  <si>
    <t>Kleinig, An.</t>
  </si>
  <si>
    <t>Dir E WSP ZVA</t>
  </si>
  <si>
    <t>Knaak, Ma.</t>
  </si>
  <si>
    <t>Knoll, Ca.</t>
  </si>
  <si>
    <t>Knoll, Ka.</t>
  </si>
  <si>
    <t>Kobin, Th.</t>
  </si>
  <si>
    <t>Kolberg, To.</t>
  </si>
  <si>
    <t>Krafscheck, Ma.</t>
  </si>
  <si>
    <t>Kruse, Je.</t>
  </si>
  <si>
    <t>Kuchta, Mi.</t>
  </si>
  <si>
    <t>Kühn, Ol.</t>
  </si>
  <si>
    <t>Kurth, Ma.</t>
  </si>
  <si>
    <t>Kurz, Ma.</t>
  </si>
  <si>
    <t>Kuske, Co.</t>
  </si>
  <si>
    <t>Kuske, Ol.</t>
  </si>
  <si>
    <t>Labitzke, In.</t>
  </si>
  <si>
    <t>Lange, Kl.</t>
  </si>
  <si>
    <t>Lange, Ma.</t>
  </si>
  <si>
    <t>Langguth, Ra.</t>
  </si>
  <si>
    <t>Langmacker, Th.</t>
  </si>
  <si>
    <t>Lehmann, Ro.</t>
  </si>
  <si>
    <t>Lichtsinn, Ja.</t>
  </si>
  <si>
    <t>Liermann, St.</t>
  </si>
  <si>
    <t>Lomitschka, Pe.</t>
  </si>
  <si>
    <t>Maaß, Ch.</t>
  </si>
  <si>
    <t>Marks, An.</t>
  </si>
  <si>
    <t>Mayr, Di.</t>
  </si>
  <si>
    <t>Müller, Da.</t>
  </si>
  <si>
    <t>Neuber, An.</t>
  </si>
  <si>
    <t>Neumann, Da.</t>
  </si>
  <si>
    <t>Nienkemper, An.</t>
  </si>
  <si>
    <t>Nowak, Al.</t>
  </si>
  <si>
    <t>Nüske, Ja.</t>
  </si>
  <si>
    <t>Nussbeutel, He.</t>
  </si>
  <si>
    <t>Paetow, De.</t>
  </si>
  <si>
    <t>Paff, Ka.</t>
  </si>
  <si>
    <t>Pape, Mi.</t>
  </si>
  <si>
    <t>Patalas, Th.</t>
  </si>
  <si>
    <t>Peikert, Ke.</t>
  </si>
  <si>
    <t>Penseler, Th.</t>
  </si>
  <si>
    <t xml:space="preserve">Abordnung WSPS Hamburg </t>
  </si>
  <si>
    <t>Petrow, St.</t>
  </si>
  <si>
    <t>Pingel, Di.</t>
  </si>
  <si>
    <t>Porzig, Th.</t>
  </si>
  <si>
    <t>Prätorius, Ch.</t>
  </si>
  <si>
    <t>Prätorius, Su.</t>
  </si>
  <si>
    <t>Prange, He.</t>
  </si>
  <si>
    <t>Pröhl, Mi.</t>
  </si>
  <si>
    <t>Rasenack, Ol.</t>
  </si>
  <si>
    <t>Rathmann, Ma.</t>
  </si>
  <si>
    <t>Reicherdt, Th.</t>
  </si>
  <si>
    <t>Reinking, Ti.</t>
  </si>
  <si>
    <t>Rentz, An.</t>
  </si>
  <si>
    <t>Reuter, Th.</t>
  </si>
  <si>
    <t>Rieck, Pe.</t>
  </si>
  <si>
    <t>Röder, Lu.</t>
  </si>
  <si>
    <t>Rudolph, Ch.</t>
  </si>
  <si>
    <t>Rychlik, Ka.</t>
  </si>
  <si>
    <t>Schaletzke, Fr.</t>
  </si>
  <si>
    <t>Scharein, Si.</t>
  </si>
  <si>
    <t>Scheife, Fr.</t>
  </si>
  <si>
    <t>Schier, Pa.</t>
  </si>
  <si>
    <t>Schläger, St.</t>
  </si>
  <si>
    <t>Schmidt, Mi.</t>
  </si>
  <si>
    <t>Schnitzlein, Be.</t>
  </si>
  <si>
    <t>Schöps, Ma.</t>
  </si>
  <si>
    <t>Schröder, Ko.</t>
  </si>
  <si>
    <t>Schuchardt, Jö.</t>
  </si>
  <si>
    <t>Schuder, Uw.</t>
  </si>
  <si>
    <t>Schulz, Ma.</t>
  </si>
  <si>
    <t>Schulzendorff, Cl.</t>
  </si>
  <si>
    <t>Sinnig, Ol.</t>
  </si>
  <si>
    <t>Spielmann, Da.</t>
  </si>
  <si>
    <t>Steinhauf, Fr.</t>
  </si>
  <si>
    <t>Strube, Fr.</t>
  </si>
  <si>
    <t>Stuckenberg, Ch.</t>
  </si>
  <si>
    <t>Stumpenhusen, Jö.</t>
  </si>
  <si>
    <t>Tarnowski, Sv.</t>
  </si>
  <si>
    <t>Thomys, Ca.</t>
  </si>
  <si>
    <t>Tischer, Da.</t>
  </si>
  <si>
    <t>Töllner, Fr.</t>
  </si>
  <si>
    <t>Töpfer, In.</t>
  </si>
  <si>
    <t>Tscheik, An.</t>
  </si>
  <si>
    <t>Umlandt, St.</t>
  </si>
  <si>
    <t>Uphof, Ka.</t>
  </si>
  <si>
    <t>Waldner, Di.</t>
  </si>
  <si>
    <t>Walenta, Ma.</t>
  </si>
  <si>
    <t>Wawrzinek, Uw.</t>
  </si>
  <si>
    <t>Wedekind, Ol.</t>
  </si>
  <si>
    <t>Weinert, Ro.</t>
  </si>
  <si>
    <t>Weise, Da.</t>
  </si>
  <si>
    <t>Werner, Ma.</t>
  </si>
  <si>
    <t>Werny, An.</t>
  </si>
  <si>
    <t>Wiemann, Mi.</t>
  </si>
  <si>
    <t>Wienmeister, Ka.</t>
  </si>
  <si>
    <t>Wojciechowski, To.</t>
  </si>
  <si>
    <t>Wolf, Be.</t>
  </si>
  <si>
    <t>Yongsing-Yü, St.</t>
  </si>
  <si>
    <t>Zahn, Fr.</t>
  </si>
  <si>
    <t>Ziegler, An.</t>
  </si>
  <si>
    <t>Zuch, Ma.</t>
  </si>
  <si>
    <t>Kennin, Th.</t>
  </si>
  <si>
    <t>Seeger, Ro.</t>
  </si>
  <si>
    <t>Lange, Je.</t>
  </si>
  <si>
    <t>Görn, Ro.</t>
  </si>
  <si>
    <t>Leitner, Uw.</t>
  </si>
  <si>
    <t>Hengfoss, Ca.</t>
  </si>
  <si>
    <t>Last, Ax.</t>
  </si>
  <si>
    <t>Bockey, Ca.</t>
  </si>
  <si>
    <t>Böhnke, Ma.</t>
  </si>
  <si>
    <t>Burger, Sy.</t>
  </si>
  <si>
    <t>Cain, Ma.</t>
  </si>
  <si>
    <t>Friedenberg, Sa.</t>
  </si>
  <si>
    <t>Gal, Le.</t>
  </si>
  <si>
    <t>Haase, Ka.</t>
  </si>
  <si>
    <t>Kliefoth, Gu.</t>
  </si>
  <si>
    <t>1 Jahr  Auslandsmission bis Juni 2019</t>
  </si>
  <si>
    <t>Knoblich, He.</t>
  </si>
  <si>
    <t>König, Sv.</t>
  </si>
  <si>
    <t>Leipnitz, Al.</t>
  </si>
  <si>
    <t>Meibauer, Ch.</t>
  </si>
  <si>
    <t>Michael, Ra.</t>
  </si>
  <si>
    <t>Niebel, Be.</t>
  </si>
  <si>
    <t>Pawlikowski, Br.</t>
  </si>
  <si>
    <t>Renz, An.</t>
  </si>
  <si>
    <t>Ritter, An.</t>
  </si>
  <si>
    <t>Schiffke, Ka.</t>
  </si>
  <si>
    <t>Scholz, Bj.</t>
  </si>
  <si>
    <t>Schupp, Ol.</t>
  </si>
  <si>
    <t>Schwabe, Ol.</t>
  </si>
  <si>
    <t>Starke, Cl.</t>
  </si>
  <si>
    <t>Steinhoff, Mi.</t>
  </si>
  <si>
    <t>Wache, We.</t>
  </si>
  <si>
    <t>Behnert, Mi.</t>
  </si>
  <si>
    <t>Boecker, Ca.</t>
  </si>
  <si>
    <t>Engelland, Vo.</t>
  </si>
  <si>
    <t>Erdmann, Ma.</t>
  </si>
  <si>
    <t>Feichtinger de C., Co.</t>
  </si>
  <si>
    <t>Gawanka, An.</t>
  </si>
  <si>
    <t>Geest von der, Kn.</t>
  </si>
  <si>
    <t>Dauerkrank</t>
  </si>
  <si>
    <t>Gersonde, Re.</t>
  </si>
  <si>
    <t>Gnädig, An.</t>
  </si>
  <si>
    <t>Grunow, Cl.</t>
  </si>
  <si>
    <t>Henning, Ol.</t>
  </si>
  <si>
    <t>Heyne, An.</t>
  </si>
  <si>
    <t>Kiele, Fr.</t>
  </si>
  <si>
    <t>Kolath, Sv.</t>
  </si>
  <si>
    <t>Kühl, Ha.</t>
  </si>
  <si>
    <t>Landwehr, Ho.</t>
  </si>
  <si>
    <t>Liss, Mi.</t>
  </si>
  <si>
    <t>Meyer-Stasiewski, Ch.</t>
  </si>
  <si>
    <t>Nootne, Ti.</t>
  </si>
  <si>
    <t>Paeth, Ha.</t>
  </si>
  <si>
    <t>Puschmann, Ch.</t>
  </si>
  <si>
    <t>Rahmsdorf, He.</t>
  </si>
  <si>
    <t>Ripken, Ch.</t>
  </si>
  <si>
    <t>Stein, Th.</t>
  </si>
  <si>
    <t>Stojanoff, Ka.</t>
  </si>
  <si>
    <t>Tamm, St.</t>
  </si>
  <si>
    <t>Teska, Da.</t>
  </si>
  <si>
    <t>Vetter-Deppe, Me.</t>
  </si>
  <si>
    <t>Völker, Ma.</t>
  </si>
  <si>
    <t>Zimmermann, Pe.</t>
  </si>
  <si>
    <t>Jungblut, Jö.</t>
  </si>
  <si>
    <t>nicht vollzugstaugl.</t>
  </si>
  <si>
    <t>Mustermann, Ma.</t>
  </si>
  <si>
    <t>Lfd.-Nr.</t>
  </si>
  <si>
    <t>Pers.-Nr.</t>
  </si>
  <si>
    <t>Name</t>
  </si>
  <si>
    <t>Dienststelle</t>
  </si>
  <si>
    <t>Zielgruppe</t>
  </si>
  <si>
    <t>Zeitraum</t>
  </si>
  <si>
    <t>Verteilung von Mitarbeitern/Schützen in den Referaten und Zählung von
 Schützen mit erbrachter Schießleistung im Zeitraum vom 01.01.2019 - 31.03.2019</t>
  </si>
  <si>
    <t>Schützenzahlen (Achtung: Doppelerfassung!)</t>
  </si>
  <si>
    <t>Schützen ohne erfolgreiches Schießtraining</t>
  </si>
  <si>
    <t>Mitarbeiter, die in dem Zeitraum vom 01.01.2019 bis 31.03.2019 kein erfolgreiches Schießtraining absolviert haben.</t>
  </si>
  <si>
    <t>Huschenhöfer, Ch.</t>
  </si>
  <si>
    <t>BA</t>
  </si>
  <si>
    <t>nein</t>
  </si>
  <si>
    <t>Schützen mit erfolgreichem Schießtraining</t>
  </si>
  <si>
    <t>Mitarbeiter, die in dem Zeitraum vom 25.03.2019 bis 25.03.2019 kein erfolgreiches Schießtraining absolviert haben.</t>
  </si>
  <si>
    <t>Id</t>
  </si>
  <si>
    <t>Ba/Tb</t>
  </si>
  <si>
    <t>ZG</t>
  </si>
  <si>
    <t>Audioschütze</t>
  </si>
  <si>
    <t>Datum</t>
  </si>
  <si>
    <t>Art der Ausführung</t>
  </si>
  <si>
    <t>Abgesagt durch</t>
  </si>
  <si>
    <t>Wiederholung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</si>
</sst>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F0F0F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right" vertical="center" indent="1"/>
    </xf>
    <xf numFmtId="9" fontId="1" fillId="3" borderId="11" xfId="0" applyNumberFormat="1" applyFont="1" applyFill="1" applyBorder="1" applyAlignment="1">
      <alignment horizontal="right" vertical="center" indent="1"/>
    </xf>
    <xf numFmtId="9" fontId="1" fillId="3" borderId="12" xfId="0" applyNumberFormat="1" applyFont="1" applyFill="1" applyBorder="1" applyAlignment="1">
      <alignment horizontal="right" vertical="center" indent="1"/>
    </xf>
    <xf numFmtId="0" fontId="1" fillId="3" borderId="13" xfId="0" applyFont="1" applyFill="1" applyBorder="1" applyAlignment="1">
      <alignment horizontal="right" vertical="center" indent="1"/>
    </xf>
    <xf numFmtId="0" fontId="1" fillId="3" borderId="14" xfId="0" applyFont="1" applyFill="1" applyBorder="1" applyAlignment="1">
      <alignment horizontal="left" vertical="center" indent="1"/>
    </xf>
    <xf numFmtId="0" fontId="1" fillId="3" borderId="15" xfId="0" applyFont="1" applyFill="1" applyBorder="1" applyAlignment="1">
      <alignment horizontal="left" vertical="center" indent="1"/>
    </xf>
    <xf numFmtId="0" fontId="0" fillId="0" borderId="19" xfId="0" applyBorder="1" applyAlignment="1">
      <alignment horizontal="right" vertical="center" indent="1"/>
    </xf>
    <xf numFmtId="9" fontId="0" fillId="0" borderId="20" xfId="0" applyNumberFormat="1" applyBorder="1" applyAlignment="1">
      <alignment horizontal="right" vertical="center" indent="1"/>
    </xf>
    <xf numFmtId="0" fontId="0" fillId="0" borderId="21" xfId="0" applyBorder="1" applyAlignment="1">
      <alignment horizontal="right" vertical="center" indent="1"/>
    </xf>
    <xf numFmtId="9" fontId="0" fillId="0" borderId="22" xfId="0" applyNumberFormat="1" applyBorder="1" applyAlignment="1">
      <alignment horizontal="right" vertical="center" indent="1"/>
    </xf>
    <xf numFmtId="0" fontId="0" fillId="0" borderId="17" xfId="0" applyBorder="1" applyAlignment="1">
      <alignment horizontal="left" vertical="center" indent="1"/>
    </xf>
    <xf numFmtId="0" fontId="0" fillId="0" borderId="23" xfId="0" applyBorder="1" applyAlignment="1">
      <alignment horizontal="left" vertical="center" indent="1"/>
    </xf>
    <xf numFmtId="0" fontId="0" fillId="0" borderId="18" xfId="0" applyBorder="1" applyAlignment="1">
      <alignment horizontal="left" vertical="center" indent="1"/>
    </xf>
    <xf numFmtId="0" fontId="0" fillId="0" borderId="24" xfId="0" applyBorder="1" applyAlignment="1">
      <alignment horizontal="left" vertical="center" indent="1"/>
    </xf>
    <xf numFmtId="0" fontId="0" fillId="0" borderId="26" xfId="0" applyBorder="1" applyAlignment="1">
      <alignment horizontal="right" vertical="center" indent="1"/>
    </xf>
    <xf numFmtId="9" fontId="0" fillId="0" borderId="27" xfId="0" applyNumberFormat="1" applyBorder="1" applyAlignment="1">
      <alignment horizontal="right" vertical="center" indent="1"/>
    </xf>
    <xf numFmtId="0" fontId="0" fillId="0" borderId="25" xfId="0" applyBorder="1" applyAlignment="1">
      <alignment horizontal="left" vertical="center" indent="1"/>
    </xf>
    <xf numFmtId="0" fontId="0" fillId="0" borderId="28" xfId="0" applyBorder="1" applyAlignment="1">
      <alignment horizontal="left" vertical="center" indent="1"/>
    </xf>
    <xf numFmtId="0" fontId="4" fillId="0" borderId="0" xfId="1" quotePrefix="1" applyAlignment="1">
      <alignment horizontal="left" indent="1"/>
    </xf>
    <xf numFmtId="0" fontId="1" fillId="2" borderId="3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left" vertical="center" indent="1"/>
    </xf>
    <xf numFmtId="0" fontId="1" fillId="2" borderId="35" xfId="0" applyFont="1" applyFill="1" applyBorder="1" applyAlignment="1">
      <alignment horizontal="left" vertical="center" indent="1"/>
    </xf>
    <xf numFmtId="0" fontId="1" fillId="2" borderId="36" xfId="0" applyFont="1" applyFill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0" fillId="0" borderId="39" xfId="0" applyBorder="1" applyAlignment="1">
      <alignment horizontal="left" vertical="center" indent="1"/>
    </xf>
    <xf numFmtId="0" fontId="0" fillId="0" borderId="40" xfId="0" applyBorder="1" applyAlignment="1">
      <alignment horizontal="left" vertical="center" indent="1"/>
    </xf>
    <xf numFmtId="0" fontId="0" fillId="0" borderId="41" xfId="0" applyBorder="1" applyAlignment="1">
      <alignment horizontal="left" vertical="center" indent="1"/>
    </xf>
    <xf numFmtId="0" fontId="0" fillId="0" borderId="42" xfId="0" applyBorder="1" applyAlignment="1">
      <alignment horizontal="left" vertical="center" indent="1"/>
    </xf>
    <xf numFmtId="0" fontId="0" fillId="0" borderId="43" xfId="0" applyBorder="1" applyAlignment="1">
      <alignment horizontal="left" vertical="center" indent="1"/>
    </xf>
    <xf numFmtId="0" fontId="0" fillId="0" borderId="44" xfId="0" applyBorder="1" applyAlignment="1">
      <alignment horizontal="left" vertical="center" indent="1"/>
    </xf>
    <xf numFmtId="0" fontId="0" fillId="0" borderId="45" xfId="0" applyBorder="1" applyAlignment="1">
      <alignment horizontal="left" vertical="center" indent="1"/>
    </xf>
    <xf numFmtId="0" fontId="1" fillId="2" borderId="7" xfId="0" applyFont="1" applyFill="1" applyBorder="1" applyAlignment="1">
      <alignment horizontal="left" vertical="center" indent="1"/>
    </xf>
    <xf numFmtId="0" fontId="1" fillId="2" borderId="3" xfId="0" applyFont="1" applyFill="1" applyBorder="1" applyAlignment="1">
      <alignment horizontal="left" vertical="center" indent="1"/>
    </xf>
    <xf numFmtId="0" fontId="1" fillId="2" borderId="4" xfId="0" applyFont="1" applyFill="1" applyBorder="1" applyAlignment="1">
      <alignment horizontal="left" vertical="center" indent="1"/>
    </xf>
    <xf numFmtId="14" fontId="0" fillId="0" borderId="38" xfId="0" applyNumberFormat="1" applyBorder="1" applyAlignment="1">
      <alignment horizontal="left" vertical="center" indent="1"/>
    </xf>
    <xf numFmtId="14" fontId="0" fillId="0" borderId="41" xfId="0" applyNumberFormat="1" applyBorder="1" applyAlignment="1">
      <alignment horizontal="left" vertical="center" inden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6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 indent="1"/>
    </xf>
    <xf numFmtId="0" fontId="1" fillId="3" borderId="9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left" vertical="center" indent="1"/>
    </xf>
    <xf numFmtId="0" fontId="1" fillId="2" borderId="7" xfId="0" applyFont="1" applyFill="1" applyBorder="1" applyAlignment="1">
      <alignment horizontal="left" vertical="center" indent="1"/>
    </xf>
    <xf numFmtId="0" fontId="1" fillId="2" borderId="31" xfId="0" applyFont="1" applyFill="1" applyBorder="1" applyAlignment="1">
      <alignment horizontal="left" vertical="top" indent="1"/>
    </xf>
    <xf numFmtId="0" fontId="1" fillId="2" borderId="32" xfId="0" applyFont="1" applyFill="1" applyBorder="1" applyAlignment="1">
      <alignment horizontal="left" vertical="top" indent="1"/>
    </xf>
    <xf numFmtId="0" fontId="1" fillId="2" borderId="2" xfId="0" applyFont="1" applyFill="1" applyBorder="1" applyAlignment="1">
      <alignment horizontal="left" vertical="top" indent="1"/>
    </xf>
    <xf numFmtId="0" fontId="1" fillId="2" borderId="3" xfId="0" applyFont="1" applyFill="1" applyBorder="1" applyAlignment="1">
      <alignment horizontal="left" vertical="top" indent="1"/>
    </xf>
    <xf numFmtId="0" fontId="1" fillId="2" borderId="32" xfId="0" applyFont="1" applyFill="1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 indent="1"/>
    </xf>
    <xf numFmtId="0" fontId="0" fillId="0" borderId="0" xfId="0" applyAlignment="1">
      <alignment horizontal="left" vertical="center" wrapText="1" indent="1"/>
    </xf>
    <xf numFmtId="0" fontId="0" fillId="0" borderId="0" xfId="0" applyAlignment="1">
      <alignment horizontal="left" vertical="center" indent="1"/>
    </xf>
    <xf numFmtId="0" fontId="1" fillId="2" borderId="30" xfId="0" applyFont="1" applyFill="1" applyBorder="1" applyAlignment="1">
      <alignment horizontal="left" vertical="center" indent="1"/>
    </xf>
    <xf numFmtId="0" fontId="1" fillId="2" borderId="32" xfId="0" applyFont="1" applyFill="1" applyBorder="1" applyAlignment="1">
      <alignment horizontal="left" vertical="center" indent="1"/>
    </xf>
    <xf numFmtId="0" fontId="1" fillId="2" borderId="33" xfId="0" applyFont="1" applyFill="1" applyBorder="1" applyAlignment="1">
      <alignment horizontal="left" vertical="center" indent="1"/>
    </xf>
  </cellXfs>
  <cellStyles count="2">
    <cellStyle name="Link" xfId="1" builtinId="8"/>
    <cellStyle name="Standard" xfId="0" builtinId="0"/>
  </cellStyles>
  <dxfs count="2">
    <dxf>
      <font>
        <color indexed="23"/>
      </font>
    </dxf>
    <dxf>
      <font>
        <color indexed="2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.docs.live.net/Statisti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6"/>
  <sheetViews>
    <sheetView showGridLines="0" workbookViewId="0">
      <selection activeCell="C17" sqref="C17"/>
    </sheetView>
  </sheetViews>
  <sheetFormatPr baseColWidth="10" defaultRowHeight="15" x14ac:dyDescent="0.25"/>
  <cols>
    <col min="2" max="2" width="21" bestFit="1" customWidth="1"/>
    <col min="3" max="3" width="57.140625" customWidth="1"/>
  </cols>
  <sheetData>
    <row r="1" spans="1:3" ht="25.5" customHeight="1" x14ac:dyDescent="0.25">
      <c r="A1" s="52" t="s">
        <v>17</v>
      </c>
      <c r="B1" s="52"/>
      <c r="C1" s="52"/>
    </row>
    <row r="2" spans="1:3" x14ac:dyDescent="0.25">
      <c r="A2" s="3" t="s">
        <v>16</v>
      </c>
      <c r="B2" s="7" t="s">
        <v>10</v>
      </c>
      <c r="C2" s="5">
        <v>2</v>
      </c>
    </row>
    <row r="3" spans="1:3" x14ac:dyDescent="0.25">
      <c r="A3" s="51" t="s">
        <v>15</v>
      </c>
      <c r="B3" s="7" t="s">
        <v>11</v>
      </c>
      <c r="C3" s="5" t="s">
        <v>13</v>
      </c>
    </row>
    <row r="4" spans="1:3" x14ac:dyDescent="0.25">
      <c r="A4" s="51"/>
      <c r="B4" s="7" t="s">
        <v>12</v>
      </c>
      <c r="C4" s="5">
        <v>2019</v>
      </c>
    </row>
    <row r="5" spans="1:3" x14ac:dyDescent="0.25">
      <c r="A5" s="51"/>
      <c r="B5" s="7" t="s">
        <v>14</v>
      </c>
      <c r="C5" s="30" t="s">
        <v>39</v>
      </c>
    </row>
    <row r="6" spans="1:3" x14ac:dyDescent="0.25">
      <c r="A6" s="6"/>
      <c r="B6" s="4"/>
      <c r="C6" s="5"/>
    </row>
  </sheetData>
  <mergeCells count="2">
    <mergeCell ref="A3:A5"/>
    <mergeCell ref="A1:C1"/>
  </mergeCells>
  <hyperlinks>
    <hyperlink ref="C5" r:id="rId1" display="\\map-file-0680\DirE\Dir ZA Stab\Dir E ET\ET 2 -  S -Schießen-\Statistik" xr:uid="{00000000-0004-0000-0000-000000000000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6:H9"/>
  <sheetViews>
    <sheetView workbookViewId="0">
      <selection activeCell="G23" sqref="G23"/>
    </sheetView>
  </sheetViews>
  <sheetFormatPr baseColWidth="10" defaultRowHeight="15" x14ac:dyDescent="0.25"/>
  <cols>
    <col min="1" max="1" width="0.85546875" customWidth="1"/>
    <col min="2" max="2" width="18.42578125" customWidth="1"/>
    <col min="3" max="3" width="16.7109375" customWidth="1"/>
    <col min="4" max="4" width="0.85546875" customWidth="1"/>
    <col min="5" max="6" width="14.42578125" customWidth="1"/>
    <col min="7" max="7" width="16.7109375" customWidth="1"/>
  </cols>
  <sheetData>
    <row r="6" spans="2:8" x14ac:dyDescent="0.25">
      <c r="B6" t="s">
        <v>0</v>
      </c>
      <c r="C6" s="2">
        <v>24225132</v>
      </c>
      <c r="E6" s="53" t="s">
        <v>7</v>
      </c>
      <c r="F6" s="53"/>
      <c r="G6" t="s">
        <v>8</v>
      </c>
      <c r="H6" t="s">
        <v>9</v>
      </c>
    </row>
    <row r="7" spans="2:8" x14ac:dyDescent="0.25">
      <c r="B7" t="s">
        <v>1</v>
      </c>
      <c r="C7" s="2"/>
      <c r="E7" t="s">
        <v>4</v>
      </c>
      <c r="F7" s="1"/>
      <c r="G7" s="54"/>
      <c r="H7" s="54"/>
    </row>
    <row r="8" spans="2:8" x14ac:dyDescent="0.25">
      <c r="B8" t="s">
        <v>2</v>
      </c>
      <c r="C8" s="2"/>
      <c r="E8" t="s">
        <v>6</v>
      </c>
      <c r="F8" s="1"/>
      <c r="G8" s="54"/>
      <c r="H8" s="54"/>
    </row>
    <row r="9" spans="2:8" x14ac:dyDescent="0.25">
      <c r="B9" t="s">
        <v>3</v>
      </c>
      <c r="C9" s="2"/>
      <c r="E9" t="s">
        <v>5</v>
      </c>
      <c r="F9" s="1"/>
      <c r="G9" s="54"/>
      <c r="H9" s="54"/>
    </row>
  </sheetData>
  <mergeCells count="3">
    <mergeCell ref="E6:F6"/>
    <mergeCell ref="G7:G9"/>
    <mergeCell ref="H7:H9"/>
  </mergeCells>
  <dataValidations count="1">
    <dataValidation type="list" operator="equal" allowBlank="1" showInputMessage="1" showErrorMessage="1" sqref="C6" xr:uid="{00000000-0002-0000-0100-000000000000}">
      <formula1>"24225132, "</formula1>
    </dataValidation>
  </dataValidation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pageSetUpPr fitToPage="1"/>
  </sheetPr>
  <dimension ref="A1:AI16"/>
  <sheetViews>
    <sheetView showGridLines="0" zoomScaleNormal="100" workbookViewId="0"/>
  </sheetViews>
  <sheetFormatPr baseColWidth="10" defaultColWidth="0" defaultRowHeight="18" customHeight="1" zeroHeight="1" x14ac:dyDescent="0.25"/>
  <cols>
    <col min="1" max="1" width="0.85546875" style="10" customWidth="1"/>
    <col min="2" max="2" width="16.7109375" style="10" customWidth="1"/>
    <col min="3" max="3" width="9.7109375" style="10" customWidth="1"/>
    <col min="4" max="8" width="10.7109375" style="10" customWidth="1"/>
    <col min="9" max="9" width="7.7109375" style="10" customWidth="1"/>
    <col min="10" max="10" width="0.85546875" style="10" customWidth="1"/>
    <col min="11" max="34" width="10.7109375" style="10" hidden="1" customWidth="1"/>
    <col min="35" max="35" width="0" style="10" hidden="1" customWidth="1"/>
    <col min="36" max="16384" width="10.7109375" style="10" hidden="1"/>
  </cols>
  <sheetData>
    <row r="1" spans="2:9" ht="32.1" customHeight="1" x14ac:dyDescent="0.25">
      <c r="B1" s="8" t="s">
        <v>19</v>
      </c>
    </row>
    <row r="2" spans="2:9" ht="18" customHeight="1" thickBot="1" x14ac:dyDescent="0.3">
      <c r="B2" s="9" t="s">
        <v>25</v>
      </c>
    </row>
    <row r="3" spans="2:9" ht="18" customHeight="1" x14ac:dyDescent="0.25">
      <c r="B3" s="59" t="s">
        <v>20</v>
      </c>
      <c r="C3" s="60"/>
      <c r="D3" s="55" t="s">
        <v>19</v>
      </c>
      <c r="E3" s="57"/>
      <c r="F3" s="57"/>
      <c r="G3" s="58"/>
      <c r="H3" s="55" t="s">
        <v>21</v>
      </c>
      <c r="I3" s="56"/>
    </row>
    <row r="4" spans="2:9" ht="18" customHeight="1" thickBot="1" x14ac:dyDescent="0.3">
      <c r="B4" s="61"/>
      <c r="C4" s="62"/>
      <c r="D4" s="31" t="s">
        <v>27</v>
      </c>
      <c r="E4" s="31" t="s">
        <v>26</v>
      </c>
      <c r="F4" s="31" t="s">
        <v>28</v>
      </c>
      <c r="G4" s="31" t="s">
        <v>24</v>
      </c>
      <c r="H4" s="31" t="s">
        <v>23</v>
      </c>
      <c r="I4" s="11" t="s">
        <v>22</v>
      </c>
    </row>
    <row r="5" spans="2:9" ht="18" customHeight="1" x14ac:dyDescent="0.25">
      <c r="B5" s="22" t="s">
        <v>29</v>
      </c>
      <c r="C5" s="23"/>
      <c r="D5" s="18">
        <v>12</v>
      </c>
      <c r="E5" s="18">
        <v>509</v>
      </c>
      <c r="F5" s="18">
        <v>94</v>
      </c>
      <c r="G5" s="18">
        <v>152</v>
      </c>
      <c r="H5" s="18">
        <f t="shared" ref="H5:H14" si="0">SUM(D5:G5)</f>
        <v>767</v>
      </c>
      <c r="I5" s="19">
        <f t="shared" ref="I5:I14" si="1">IF($H$14&lt;&gt;0,H5/$H$14,0)</f>
        <v>0.32624415142492558</v>
      </c>
    </row>
    <row r="6" spans="2:9" ht="18" customHeight="1" x14ac:dyDescent="0.25">
      <c r="B6" s="28" t="s">
        <v>30</v>
      </c>
      <c r="C6" s="29"/>
      <c r="D6" s="26">
        <v>5</v>
      </c>
      <c r="E6" s="26">
        <v>117</v>
      </c>
      <c r="F6" s="26">
        <v>15</v>
      </c>
      <c r="G6" s="26">
        <v>40</v>
      </c>
      <c r="H6" s="26">
        <f t="shared" si="0"/>
        <v>177</v>
      </c>
      <c r="I6" s="27">
        <f t="shared" si="1"/>
        <v>7.5287111867290521E-2</v>
      </c>
    </row>
    <row r="7" spans="2:9" ht="18" customHeight="1" x14ac:dyDescent="0.25">
      <c r="B7" s="28" t="s">
        <v>31</v>
      </c>
      <c r="C7" s="29"/>
      <c r="D7" s="26">
        <v>0</v>
      </c>
      <c r="E7" s="26">
        <v>0</v>
      </c>
      <c r="F7" s="26">
        <v>0</v>
      </c>
      <c r="G7" s="26">
        <v>308</v>
      </c>
      <c r="H7" s="26">
        <f t="shared" si="0"/>
        <v>308</v>
      </c>
      <c r="I7" s="27">
        <f t="shared" si="1"/>
        <v>0.1310080816673756</v>
      </c>
    </row>
    <row r="8" spans="2:9" ht="18" customHeight="1" x14ac:dyDescent="0.25">
      <c r="B8" s="28" t="s">
        <v>32</v>
      </c>
      <c r="C8" s="29"/>
      <c r="D8" s="26">
        <v>0</v>
      </c>
      <c r="E8" s="26">
        <v>0</v>
      </c>
      <c r="F8" s="26">
        <v>0</v>
      </c>
      <c r="G8" s="26">
        <v>3</v>
      </c>
      <c r="H8" s="26">
        <f t="shared" si="0"/>
        <v>3</v>
      </c>
      <c r="I8" s="27">
        <f t="shared" si="1"/>
        <v>1.2760527435133986E-3</v>
      </c>
    </row>
    <row r="9" spans="2:9" ht="18" customHeight="1" x14ac:dyDescent="0.25">
      <c r="B9" s="28" t="s">
        <v>33</v>
      </c>
      <c r="C9" s="29"/>
      <c r="D9" s="26">
        <v>77</v>
      </c>
      <c r="E9" s="26">
        <v>0</v>
      </c>
      <c r="F9" s="26">
        <v>619</v>
      </c>
      <c r="G9" s="26">
        <v>23</v>
      </c>
      <c r="H9" s="26">
        <f t="shared" si="0"/>
        <v>719</v>
      </c>
      <c r="I9" s="27">
        <f t="shared" si="1"/>
        <v>0.30582730752871118</v>
      </c>
    </row>
    <row r="10" spans="2:9" ht="18" customHeight="1" x14ac:dyDescent="0.25">
      <c r="B10" s="28" t="s">
        <v>34</v>
      </c>
      <c r="C10" s="29"/>
      <c r="D10" s="26">
        <v>0</v>
      </c>
      <c r="E10" s="26">
        <v>0</v>
      </c>
      <c r="F10" s="26">
        <v>0</v>
      </c>
      <c r="G10" s="26">
        <v>7</v>
      </c>
      <c r="H10" s="26">
        <f t="shared" si="0"/>
        <v>7</v>
      </c>
      <c r="I10" s="27">
        <f t="shared" si="1"/>
        <v>2.9774564015312634E-3</v>
      </c>
    </row>
    <row r="11" spans="2:9" ht="18" customHeight="1" x14ac:dyDescent="0.25">
      <c r="B11" s="28" t="s">
        <v>18</v>
      </c>
      <c r="C11" s="29"/>
      <c r="D11" s="26">
        <v>0</v>
      </c>
      <c r="E11" s="26">
        <v>0</v>
      </c>
      <c r="F11" s="26">
        <v>0</v>
      </c>
      <c r="G11" s="26">
        <v>137</v>
      </c>
      <c r="H11" s="26">
        <f t="shared" si="0"/>
        <v>137</v>
      </c>
      <c r="I11" s="27">
        <f t="shared" si="1"/>
        <v>5.827307528711187E-2</v>
      </c>
    </row>
    <row r="12" spans="2:9" ht="18" customHeight="1" x14ac:dyDescent="0.25">
      <c r="B12" s="28" t="s">
        <v>35</v>
      </c>
      <c r="C12" s="29"/>
      <c r="D12" s="26">
        <v>0</v>
      </c>
      <c r="E12" s="26">
        <v>147</v>
      </c>
      <c r="F12" s="26">
        <v>0</v>
      </c>
      <c r="G12" s="26">
        <v>30</v>
      </c>
      <c r="H12" s="26">
        <f t="shared" si="0"/>
        <v>177</v>
      </c>
      <c r="I12" s="27">
        <f t="shared" si="1"/>
        <v>7.5287111867290521E-2</v>
      </c>
    </row>
    <row r="13" spans="2:9" ht="18" customHeight="1" thickBot="1" x14ac:dyDescent="0.3">
      <c r="B13" s="24" t="s">
        <v>36</v>
      </c>
      <c r="C13" s="25"/>
      <c r="D13" s="20">
        <v>0</v>
      </c>
      <c r="E13" s="20">
        <v>0</v>
      </c>
      <c r="F13" s="20">
        <v>24</v>
      </c>
      <c r="G13" s="20">
        <v>32</v>
      </c>
      <c r="H13" s="20">
        <f t="shared" si="0"/>
        <v>56</v>
      </c>
      <c r="I13" s="21">
        <f t="shared" si="1"/>
        <v>2.3819651212250107E-2</v>
      </c>
    </row>
    <row r="14" spans="2:9" ht="18" customHeight="1" thickTop="1" x14ac:dyDescent="0.25">
      <c r="B14" s="63" t="s">
        <v>21</v>
      </c>
      <c r="C14" s="16" t="s">
        <v>23</v>
      </c>
      <c r="D14" s="12">
        <f t="shared" ref="D14:G14" si="2">SUM(+D$5+D$6+D$7+D$8+D$9+D$10+D$11+D$12+D$13)</f>
        <v>94</v>
      </c>
      <c r="E14" s="12">
        <f t="shared" si="2"/>
        <v>773</v>
      </c>
      <c r="F14" s="12">
        <f t="shared" si="2"/>
        <v>752</v>
      </c>
      <c r="G14" s="12">
        <f t="shared" si="2"/>
        <v>732</v>
      </c>
      <c r="H14" s="12">
        <f t="shared" si="0"/>
        <v>2351</v>
      </c>
      <c r="I14" s="13">
        <f t="shared" si="1"/>
        <v>1</v>
      </c>
    </row>
    <row r="15" spans="2:9" ht="18" customHeight="1" thickBot="1" x14ac:dyDescent="0.3">
      <c r="B15" s="64"/>
      <c r="C15" s="17" t="s">
        <v>22</v>
      </c>
      <c r="D15" s="14">
        <f t="shared" ref="D15:H15" si="3">IF($H$14&lt;&gt;0,D14/$H$14,0)</f>
        <v>3.9982985963419822E-2</v>
      </c>
      <c r="E15" s="14">
        <f t="shared" si="3"/>
        <v>0.32879625691195236</v>
      </c>
      <c r="F15" s="14">
        <f t="shared" si="3"/>
        <v>0.31986388770735857</v>
      </c>
      <c r="G15" s="14">
        <f t="shared" si="3"/>
        <v>0.31135686941726926</v>
      </c>
      <c r="H15" s="14">
        <f t="shared" si="3"/>
        <v>1</v>
      </c>
      <c r="I15" s="15"/>
    </row>
    <row r="16" spans="2:9" ht="5.0999999999999996" customHeight="1" x14ac:dyDescent="0.25"/>
  </sheetData>
  <sheetProtection algorithmName="SHA-512" hashValue="a1ZZgi71jy/47w6JmPN/UHzW065cFeGVDOtsAfO2q0KfLwalrpt+oAZm+XKG1wVa0wvyJInk7ZBqVZidESg2AQ==" saltValue="RE7oG3jHh7iswNVG4B8z8g==" spinCount="100000" sheet="1" objects="1" scenarios="1" selectLockedCells="1"/>
  <mergeCells count="4">
    <mergeCell ref="H3:I3"/>
    <mergeCell ref="D3:G3"/>
    <mergeCell ref="B3:C4"/>
    <mergeCell ref="B14:B15"/>
  </mergeCells>
  <conditionalFormatting sqref="D5:I15">
    <cfRule type="cellIs" dxfId="1" priority="1" operator="equal">
      <formula>0</formula>
    </cfRule>
  </conditionalFormatting>
  <pageMargins left="0.70866141732283505" right="0.70866141732283505" top="0.74803149606299202" bottom="0.78740157499999996" header="0.3" footer="0.3"/>
  <pageSetup paperSize="9" pageOrder="overThenDown" orientation="landscape" r:id="rId1"/>
  <headerFooter scaleWithDoc="0">
    <oddHeader>&amp;LDir E ET
Bearbeiter: XXXX&amp;R&amp;D
70XXXX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pageSetUpPr fitToPage="1"/>
  </sheetPr>
  <dimension ref="A1:BI34"/>
  <sheetViews>
    <sheetView showGridLines="0" zoomScaleNormal="100" workbookViewId="0">
      <selection activeCell="F12" sqref="F12"/>
    </sheetView>
  </sheetViews>
  <sheetFormatPr baseColWidth="10" defaultColWidth="0" defaultRowHeight="18" customHeight="1" zeroHeight="1" x14ac:dyDescent="0.25"/>
  <cols>
    <col min="1" max="1" width="0.85546875" style="35" customWidth="1"/>
    <col min="2" max="2" width="16.7109375" style="35" customWidth="1"/>
    <col min="3" max="3" width="9.7109375" style="35" customWidth="1"/>
    <col min="4" max="8" width="12.7109375" style="35" customWidth="1"/>
    <col min="9" max="9" width="7.7109375" style="35" customWidth="1"/>
    <col min="10" max="10" width="0.85546875" style="35" customWidth="1"/>
    <col min="11" max="38" width="12.7109375" style="35" hidden="1" customWidth="1"/>
    <col min="39" max="48" width="10.7109375" style="35" hidden="1" customWidth="1"/>
    <col min="49" max="61" width="0" style="35" hidden="1" customWidth="1"/>
    <col min="62" max="16384" width="12.7109375" style="35" hidden="1"/>
  </cols>
  <sheetData>
    <row r="1" spans="2:9" ht="32.1" customHeight="1" x14ac:dyDescent="0.25">
      <c r="B1" s="36" t="s">
        <v>2713</v>
      </c>
    </row>
    <row r="2" spans="2:9" ht="36" customHeight="1" thickBot="1" x14ac:dyDescent="0.3">
      <c r="B2" s="73" t="s">
        <v>2712</v>
      </c>
      <c r="C2" s="74"/>
      <c r="D2" s="74"/>
      <c r="E2" s="74"/>
      <c r="F2" s="74"/>
      <c r="G2" s="74"/>
    </row>
    <row r="3" spans="2:9" ht="18" customHeight="1" x14ac:dyDescent="0.25">
      <c r="B3" s="65"/>
      <c r="C3" s="66"/>
      <c r="D3" s="46"/>
      <c r="E3" s="46"/>
      <c r="F3" s="66" t="s">
        <v>2711</v>
      </c>
      <c r="G3" s="66"/>
      <c r="H3" s="66"/>
      <c r="I3" s="75"/>
    </row>
    <row r="4" spans="2:9" ht="18" customHeight="1" x14ac:dyDescent="0.25">
      <c r="B4" s="67" t="s">
        <v>20</v>
      </c>
      <c r="C4" s="68"/>
      <c r="D4" s="71" t="s">
        <v>40</v>
      </c>
      <c r="E4" s="71" t="s">
        <v>41</v>
      </c>
      <c r="F4" s="71" t="s">
        <v>38</v>
      </c>
      <c r="G4" s="71" t="s">
        <v>42</v>
      </c>
      <c r="H4" s="76" t="s">
        <v>21</v>
      </c>
      <c r="I4" s="77"/>
    </row>
    <row r="5" spans="2:9" ht="18" customHeight="1" thickBot="1" x14ac:dyDescent="0.3">
      <c r="B5" s="69"/>
      <c r="C5" s="70"/>
      <c r="D5" s="72"/>
      <c r="E5" s="72"/>
      <c r="F5" s="72"/>
      <c r="G5" s="72"/>
      <c r="H5" s="47" t="s">
        <v>23</v>
      </c>
      <c r="I5" s="48" t="s">
        <v>22</v>
      </c>
    </row>
    <row r="6" spans="2:9" ht="18" customHeight="1" x14ac:dyDescent="0.25">
      <c r="B6" s="22" t="s">
        <v>29</v>
      </c>
      <c r="C6" s="23"/>
      <c r="D6" s="18">
        <v>767</v>
      </c>
      <c r="E6" s="18">
        <v>18</v>
      </c>
      <c r="F6" s="18">
        <v>0</v>
      </c>
      <c r="G6" s="18">
        <v>0</v>
      </c>
      <c r="H6" s="18">
        <f t="shared" ref="H6:H14" si="0">SUM(F6:G6)</f>
        <v>0</v>
      </c>
      <c r="I6" s="19">
        <f t="shared" ref="I6:I15" si="1">IF($D$15&lt;&gt;0,H6/$D$15,0)</f>
        <v>0</v>
      </c>
    </row>
    <row r="7" spans="2:9" ht="18" customHeight="1" x14ac:dyDescent="0.25">
      <c r="B7" s="28" t="s">
        <v>30</v>
      </c>
      <c r="C7" s="29"/>
      <c r="D7" s="26">
        <v>177</v>
      </c>
      <c r="E7" s="26">
        <v>8</v>
      </c>
      <c r="F7" s="26">
        <v>0</v>
      </c>
      <c r="G7" s="26">
        <v>0</v>
      </c>
      <c r="H7" s="26">
        <f t="shared" si="0"/>
        <v>0</v>
      </c>
      <c r="I7" s="27">
        <f t="shared" si="1"/>
        <v>0</v>
      </c>
    </row>
    <row r="8" spans="2:9" ht="18" customHeight="1" x14ac:dyDescent="0.25">
      <c r="B8" s="28" t="s">
        <v>31</v>
      </c>
      <c r="C8" s="29"/>
      <c r="D8" s="26">
        <v>308</v>
      </c>
      <c r="E8" s="26">
        <v>13</v>
      </c>
      <c r="F8" s="26">
        <v>0</v>
      </c>
      <c r="G8" s="26">
        <v>0</v>
      </c>
      <c r="H8" s="26">
        <f t="shared" si="0"/>
        <v>0</v>
      </c>
      <c r="I8" s="27">
        <f t="shared" si="1"/>
        <v>0</v>
      </c>
    </row>
    <row r="9" spans="2:9" ht="18" customHeight="1" x14ac:dyDescent="0.25">
      <c r="B9" s="28" t="s">
        <v>32</v>
      </c>
      <c r="C9" s="29"/>
      <c r="D9" s="26">
        <v>3</v>
      </c>
      <c r="E9" s="26">
        <v>0</v>
      </c>
      <c r="F9" s="26">
        <v>0</v>
      </c>
      <c r="G9" s="26">
        <v>0</v>
      </c>
      <c r="H9" s="26">
        <f t="shared" si="0"/>
        <v>0</v>
      </c>
      <c r="I9" s="27">
        <f t="shared" si="1"/>
        <v>0</v>
      </c>
    </row>
    <row r="10" spans="2:9" ht="18" customHeight="1" x14ac:dyDescent="0.25">
      <c r="B10" s="28" t="s">
        <v>33</v>
      </c>
      <c r="C10" s="29"/>
      <c r="D10" s="26">
        <v>719</v>
      </c>
      <c r="E10" s="26">
        <v>75</v>
      </c>
      <c r="F10" s="26">
        <v>0</v>
      </c>
      <c r="G10" s="26">
        <v>0</v>
      </c>
      <c r="H10" s="26">
        <f t="shared" si="0"/>
        <v>0</v>
      </c>
      <c r="I10" s="27">
        <f t="shared" si="1"/>
        <v>0</v>
      </c>
    </row>
    <row r="11" spans="2:9" ht="18" customHeight="1" x14ac:dyDescent="0.25">
      <c r="B11" s="28" t="s">
        <v>34</v>
      </c>
      <c r="C11" s="29"/>
      <c r="D11" s="26">
        <v>7</v>
      </c>
      <c r="E11" s="26">
        <v>0</v>
      </c>
      <c r="F11" s="26">
        <v>0</v>
      </c>
      <c r="G11" s="26">
        <v>0</v>
      </c>
      <c r="H11" s="26">
        <f t="shared" si="0"/>
        <v>0</v>
      </c>
      <c r="I11" s="27">
        <f t="shared" si="1"/>
        <v>0</v>
      </c>
    </row>
    <row r="12" spans="2:9" ht="18" customHeight="1" x14ac:dyDescent="0.25">
      <c r="B12" s="28" t="s">
        <v>18</v>
      </c>
      <c r="C12" s="29"/>
      <c r="D12" s="26">
        <v>137</v>
      </c>
      <c r="E12" s="26">
        <v>4</v>
      </c>
      <c r="F12" s="26">
        <v>1</v>
      </c>
      <c r="G12" s="26">
        <v>1</v>
      </c>
      <c r="H12" s="26">
        <f t="shared" si="0"/>
        <v>2</v>
      </c>
      <c r="I12" s="27">
        <f t="shared" si="1"/>
        <v>8.507018290089324E-4</v>
      </c>
    </row>
    <row r="13" spans="2:9" ht="18" customHeight="1" x14ac:dyDescent="0.25">
      <c r="B13" s="28" t="s">
        <v>35</v>
      </c>
      <c r="C13" s="29"/>
      <c r="D13" s="26">
        <v>177</v>
      </c>
      <c r="E13" s="26">
        <v>10</v>
      </c>
      <c r="F13" s="26">
        <v>0</v>
      </c>
      <c r="G13" s="26">
        <v>0</v>
      </c>
      <c r="H13" s="26">
        <f t="shared" si="0"/>
        <v>0</v>
      </c>
      <c r="I13" s="27">
        <f t="shared" si="1"/>
        <v>0</v>
      </c>
    </row>
    <row r="14" spans="2:9" ht="18" customHeight="1" thickBot="1" x14ac:dyDescent="0.3">
      <c r="B14" s="24" t="s">
        <v>36</v>
      </c>
      <c r="C14" s="25"/>
      <c r="D14" s="20">
        <v>56</v>
      </c>
      <c r="E14" s="20">
        <v>2</v>
      </c>
      <c r="F14" s="20">
        <v>0</v>
      </c>
      <c r="G14" s="20">
        <v>0</v>
      </c>
      <c r="H14" s="20">
        <f t="shared" si="0"/>
        <v>0</v>
      </c>
      <c r="I14" s="21">
        <f t="shared" si="1"/>
        <v>0</v>
      </c>
    </row>
    <row r="15" spans="2:9" ht="18" customHeight="1" thickTop="1" x14ac:dyDescent="0.25">
      <c r="B15" s="63" t="s">
        <v>21</v>
      </c>
      <c r="C15" s="16" t="s">
        <v>23</v>
      </c>
      <c r="D15" s="12">
        <f>SUM(D$6:D14)</f>
        <v>2351</v>
      </c>
      <c r="E15" s="12">
        <f>SUM(E$6:E14)</f>
        <v>130</v>
      </c>
      <c r="F15" s="12">
        <f>SUM(F$6:F14)</f>
        <v>1</v>
      </c>
      <c r="G15" s="12">
        <f>SUM(G$6:G14)</f>
        <v>1</v>
      </c>
      <c r="H15" s="12">
        <f>SUM(H$6:H14)</f>
        <v>2</v>
      </c>
      <c r="I15" s="13">
        <f t="shared" si="1"/>
        <v>8.507018290089324E-4</v>
      </c>
    </row>
    <row r="16" spans="2:9" ht="18" customHeight="1" thickBot="1" x14ac:dyDescent="0.3">
      <c r="B16" s="64"/>
      <c r="C16" s="17" t="s">
        <v>22</v>
      </c>
      <c r="D16" s="14">
        <f t="shared" ref="D16:H16" si="2">IF($D15&lt;&gt;0,D$15/$D15,0)</f>
        <v>1</v>
      </c>
      <c r="E16" s="14">
        <f t="shared" si="2"/>
        <v>5.5295618885580607E-2</v>
      </c>
      <c r="F16" s="14">
        <f t="shared" si="2"/>
        <v>4.253509145044662E-4</v>
      </c>
      <c r="G16" s="14">
        <f t="shared" si="2"/>
        <v>4.253509145044662E-4</v>
      </c>
      <c r="H16" s="14">
        <f t="shared" si="2"/>
        <v>8.507018290089324E-4</v>
      </c>
      <c r="I16" s="15"/>
    </row>
    <row r="17" ht="5.0999999999999996" customHeight="1" x14ac:dyDescent="0.25"/>
    <row r="18" ht="18" hidden="1" customHeight="1" x14ac:dyDescent="0.25"/>
    <row r="19" ht="18" hidden="1" customHeight="1" x14ac:dyDescent="0.25"/>
    <row r="20" ht="18" hidden="1" customHeight="1" x14ac:dyDescent="0.25"/>
    <row r="21" ht="18" hidden="1" customHeight="1" x14ac:dyDescent="0.25"/>
    <row r="22" ht="18" hidden="1" customHeight="1" x14ac:dyDescent="0.25"/>
    <row r="23" ht="18" hidden="1" customHeight="1" x14ac:dyDescent="0.25"/>
    <row r="24" ht="18" hidden="1" customHeight="1" x14ac:dyDescent="0.25"/>
    <row r="25" ht="18" hidden="1" customHeight="1" x14ac:dyDescent="0.25"/>
    <row r="26" ht="18" hidden="1" customHeight="1" x14ac:dyDescent="0.25"/>
    <row r="27" ht="18" hidden="1" customHeight="1" x14ac:dyDescent="0.25"/>
    <row r="28" ht="18" hidden="1" customHeight="1" x14ac:dyDescent="0.25"/>
    <row r="29" ht="18" hidden="1" customHeight="1" x14ac:dyDescent="0.25"/>
    <row r="30" ht="18" hidden="1" customHeight="1" x14ac:dyDescent="0.25"/>
    <row r="31" ht="18" hidden="1" customHeight="1" x14ac:dyDescent="0.25"/>
    <row r="32" ht="18" hidden="1" customHeight="1" x14ac:dyDescent="0.25"/>
    <row r="33" ht="18" hidden="1" customHeight="1" x14ac:dyDescent="0.25"/>
    <row r="34" ht="18" hidden="1" customHeight="1" x14ac:dyDescent="0.25"/>
  </sheetData>
  <sheetProtection selectLockedCells="1"/>
  <mergeCells count="10">
    <mergeCell ref="B2:G2"/>
    <mergeCell ref="F4:F5"/>
    <mergeCell ref="G4:G5"/>
    <mergeCell ref="F3:I3"/>
    <mergeCell ref="H4:I4"/>
    <mergeCell ref="B15:B16"/>
    <mergeCell ref="B3:C3"/>
    <mergeCell ref="B4:C5"/>
    <mergeCell ref="D4:D5"/>
    <mergeCell ref="E4:E5"/>
  </mergeCells>
  <conditionalFormatting sqref="D6:I16">
    <cfRule type="cellIs" dxfId="0" priority="1" operator="equal">
      <formula>0</formula>
    </cfRule>
  </conditionalFormatting>
  <pageMargins left="0.70866141732283505" right="0.70866141732283505" top="0.74803149606299202" bottom="0.78740157499999996" header="0.3" footer="0.3"/>
  <pageSetup paperSize="9" pageOrder="overThenDown" orientation="landscape" r:id="rId1"/>
  <headerFooter scaleWithDoc="0">
    <oddHeader>&amp;LDir E ET
Bearbeiter: XXXX&amp;R&amp;D
70XXXX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 filterMode="1"/>
  <dimension ref="A1:I2356"/>
  <sheetViews>
    <sheetView showGridLines="0" workbookViewId="0">
      <selection activeCell="F6" sqref="F6"/>
    </sheetView>
  </sheetViews>
  <sheetFormatPr baseColWidth="10" defaultColWidth="0" defaultRowHeight="18" customHeight="1" zeroHeight="1" x14ac:dyDescent="0.25"/>
  <cols>
    <col min="1" max="1" width="0.85546875" style="35" customWidth="1"/>
    <col min="2" max="2" width="7.7109375" style="35" customWidth="1"/>
    <col min="3" max="3" width="14.7109375" style="35" customWidth="1"/>
    <col min="4" max="5" width="20.7109375" style="35" customWidth="1"/>
    <col min="6" max="6" width="22.7109375" style="35" customWidth="1"/>
    <col min="7" max="7" width="14.7109375" style="35" customWidth="1"/>
    <col min="8" max="8" width="30.7109375" style="35" customWidth="1"/>
    <col min="9" max="9" width="0.85546875" style="35" customWidth="1"/>
    <col min="10" max="16384" width="14.7109375" style="35" hidden="1"/>
  </cols>
  <sheetData>
    <row r="1" spans="2:8" ht="32.1" customHeight="1" x14ac:dyDescent="0.25">
      <c r="B1" s="36" t="s">
        <v>2714</v>
      </c>
    </row>
    <row r="2" spans="2:8" ht="18" customHeight="1" thickBot="1" x14ac:dyDescent="0.3">
      <c r="B2" s="74" t="s">
        <v>2715</v>
      </c>
      <c r="C2" s="74"/>
      <c r="D2" s="74"/>
      <c r="E2" s="74"/>
      <c r="F2" s="74"/>
      <c r="G2" s="74"/>
      <c r="H2" s="74"/>
    </row>
    <row r="3" spans="2:8" ht="18" customHeight="1" thickBot="1" x14ac:dyDescent="0.3">
      <c r="B3" s="32" t="s">
        <v>2706</v>
      </c>
      <c r="C3" s="33" t="s">
        <v>2707</v>
      </c>
      <c r="D3" s="33" t="s">
        <v>2708</v>
      </c>
      <c r="E3" s="33" t="s">
        <v>20</v>
      </c>
      <c r="F3" s="33" t="s">
        <v>2709</v>
      </c>
      <c r="G3" s="33" t="s">
        <v>2710</v>
      </c>
      <c r="H3" s="34" t="s">
        <v>9</v>
      </c>
    </row>
    <row r="4" spans="2:8" ht="18" customHeight="1" x14ac:dyDescent="0.25">
      <c r="B4" s="37">
        <f>SUBTOTAL(3,C$4:C4)</f>
        <v>1</v>
      </c>
      <c r="C4" s="38">
        <v>24039524</v>
      </c>
      <c r="D4" s="38" t="s">
        <v>1076</v>
      </c>
      <c r="E4" s="38" t="s">
        <v>18</v>
      </c>
      <c r="F4" s="38" t="s">
        <v>1077</v>
      </c>
      <c r="G4" s="38" t="s">
        <v>24</v>
      </c>
      <c r="H4" s="39"/>
    </row>
    <row r="5" spans="2:8" ht="18" customHeight="1" x14ac:dyDescent="0.25">
      <c r="B5" s="40">
        <f>SUBTOTAL(3,C$4:C5)</f>
        <v>2</v>
      </c>
      <c r="C5" s="41">
        <v>24338155</v>
      </c>
      <c r="D5" s="41" t="s">
        <v>2320</v>
      </c>
      <c r="E5" s="41" t="s">
        <v>33</v>
      </c>
      <c r="F5" s="41" t="s">
        <v>2321</v>
      </c>
      <c r="G5" s="41" t="s">
        <v>28</v>
      </c>
      <c r="H5" s="42"/>
    </row>
    <row r="6" spans="2:8" ht="18" customHeight="1" x14ac:dyDescent="0.25">
      <c r="B6" s="40">
        <f>SUBTOTAL(3,C$4:C6)</f>
        <v>3</v>
      </c>
      <c r="C6" s="41">
        <v>24309772</v>
      </c>
      <c r="D6" s="41" t="s">
        <v>2359</v>
      </c>
      <c r="E6" s="41" t="s">
        <v>33</v>
      </c>
      <c r="F6" s="41" t="s">
        <v>2360</v>
      </c>
      <c r="G6" s="41" t="s">
        <v>28</v>
      </c>
      <c r="H6" s="42"/>
    </row>
    <row r="7" spans="2:8" ht="18" customHeight="1" x14ac:dyDescent="0.25">
      <c r="B7" s="40">
        <f>SUBTOTAL(3,C$4:C7)</f>
        <v>4</v>
      </c>
      <c r="C7" s="41">
        <v>24344413</v>
      </c>
      <c r="D7" s="41" t="s">
        <v>1125</v>
      </c>
      <c r="E7" s="41" t="s">
        <v>33</v>
      </c>
      <c r="F7" s="41" t="s">
        <v>1126</v>
      </c>
      <c r="G7" s="41" t="s">
        <v>28</v>
      </c>
      <c r="H7" s="42"/>
    </row>
    <row r="8" spans="2:8" ht="18" customHeight="1" x14ac:dyDescent="0.25">
      <c r="B8" s="40">
        <f>SUBTOTAL(3,C$4:C8)</f>
        <v>5</v>
      </c>
      <c r="C8" s="41">
        <v>24338171</v>
      </c>
      <c r="D8" s="41" t="s">
        <v>1804</v>
      </c>
      <c r="E8" s="41" t="s">
        <v>33</v>
      </c>
      <c r="F8" s="41" t="s">
        <v>1805</v>
      </c>
      <c r="G8" s="41" t="s">
        <v>28</v>
      </c>
      <c r="H8" s="42"/>
    </row>
    <row r="9" spans="2:8" ht="18" customHeight="1" x14ac:dyDescent="0.25">
      <c r="B9" s="40">
        <f>SUBTOTAL(3,C$4:C9)</f>
        <v>6</v>
      </c>
      <c r="C9" s="41">
        <v>24344450</v>
      </c>
      <c r="D9" s="41" t="s">
        <v>2336</v>
      </c>
      <c r="E9" s="41" t="s">
        <v>33</v>
      </c>
      <c r="F9" s="41" t="s">
        <v>2337</v>
      </c>
      <c r="G9" s="41" t="s">
        <v>28</v>
      </c>
      <c r="H9" s="42"/>
    </row>
    <row r="10" spans="2:8" ht="18" customHeight="1" x14ac:dyDescent="0.25">
      <c r="B10" s="40">
        <f>SUBTOTAL(3,C$4:C10)</f>
        <v>7</v>
      </c>
      <c r="C10" s="41">
        <v>24117895</v>
      </c>
      <c r="D10" s="41" t="s">
        <v>1795</v>
      </c>
      <c r="E10" s="41" t="s">
        <v>33</v>
      </c>
      <c r="F10" s="41" t="s">
        <v>1796</v>
      </c>
      <c r="G10" s="41" t="s">
        <v>28</v>
      </c>
      <c r="H10" s="42"/>
    </row>
    <row r="11" spans="2:8" ht="18" customHeight="1" x14ac:dyDescent="0.25">
      <c r="B11" s="40">
        <f>SUBTOTAL(3,C$4:C11)</f>
        <v>8</v>
      </c>
      <c r="C11" s="41">
        <v>24334736</v>
      </c>
      <c r="D11" s="41" t="s">
        <v>1813</v>
      </c>
      <c r="E11" s="41" t="s">
        <v>33</v>
      </c>
      <c r="F11" s="41" t="s">
        <v>1796</v>
      </c>
      <c r="G11" s="41" t="s">
        <v>28</v>
      </c>
      <c r="H11" s="42"/>
    </row>
    <row r="12" spans="2:8" ht="18" customHeight="1" x14ac:dyDescent="0.25">
      <c r="B12" s="40">
        <f>SUBTOTAL(3,C$4:C12)</f>
        <v>9</v>
      </c>
      <c r="C12" s="41">
        <v>24334785</v>
      </c>
      <c r="D12" s="41" t="s">
        <v>2187</v>
      </c>
      <c r="E12" s="41" t="s">
        <v>33</v>
      </c>
      <c r="F12" s="41" t="s">
        <v>1796</v>
      </c>
      <c r="G12" s="41" t="s">
        <v>28</v>
      </c>
      <c r="H12" s="42"/>
    </row>
    <row r="13" spans="2:8" ht="18" customHeight="1" x14ac:dyDescent="0.25">
      <c r="B13" s="40">
        <f>SUBTOTAL(3,C$4:C13)</f>
        <v>10</v>
      </c>
      <c r="C13" s="41">
        <v>24316022</v>
      </c>
      <c r="D13" s="41" t="s">
        <v>2203</v>
      </c>
      <c r="E13" s="41" t="s">
        <v>33</v>
      </c>
      <c r="F13" s="41" t="s">
        <v>1796</v>
      </c>
      <c r="G13" s="41" t="s">
        <v>28</v>
      </c>
      <c r="H13" s="42"/>
    </row>
    <row r="14" spans="2:8" ht="18" customHeight="1" x14ac:dyDescent="0.25">
      <c r="B14" s="40">
        <f>SUBTOTAL(3,C$4:C14)</f>
        <v>11</v>
      </c>
      <c r="C14" s="41">
        <v>24338550</v>
      </c>
      <c r="D14" s="41" t="s">
        <v>2279</v>
      </c>
      <c r="E14" s="41" t="s">
        <v>33</v>
      </c>
      <c r="F14" s="41" t="s">
        <v>1796</v>
      </c>
      <c r="G14" s="41" t="s">
        <v>28</v>
      </c>
      <c r="H14" s="42"/>
    </row>
    <row r="15" spans="2:8" ht="18" customHeight="1" x14ac:dyDescent="0.25">
      <c r="B15" s="40">
        <f>SUBTOTAL(3,C$4:C15)</f>
        <v>12</v>
      </c>
      <c r="C15" s="41">
        <v>24315908</v>
      </c>
      <c r="D15" s="41" t="s">
        <v>2300</v>
      </c>
      <c r="E15" s="41" t="s">
        <v>33</v>
      </c>
      <c r="F15" s="41" t="s">
        <v>1796</v>
      </c>
      <c r="G15" s="41" t="s">
        <v>28</v>
      </c>
      <c r="H15" s="42"/>
    </row>
    <row r="16" spans="2:8" ht="18" customHeight="1" x14ac:dyDescent="0.25">
      <c r="B16" s="40">
        <f>SUBTOTAL(3,C$4:C16)</f>
        <v>13</v>
      </c>
      <c r="C16" s="41">
        <v>24338534</v>
      </c>
      <c r="D16" s="41" t="s">
        <v>2308</v>
      </c>
      <c r="E16" s="41" t="s">
        <v>33</v>
      </c>
      <c r="F16" s="41" t="s">
        <v>1796</v>
      </c>
      <c r="G16" s="41" t="s">
        <v>28</v>
      </c>
      <c r="H16" s="42"/>
    </row>
    <row r="17" spans="2:8" ht="18" customHeight="1" x14ac:dyDescent="0.25">
      <c r="B17" s="40">
        <f>SUBTOTAL(3,C$4:C17)</f>
        <v>14</v>
      </c>
      <c r="C17" s="41">
        <v>24355273</v>
      </c>
      <c r="D17" s="41" t="s">
        <v>2076</v>
      </c>
      <c r="E17" s="41" t="s">
        <v>33</v>
      </c>
      <c r="F17" s="41" t="s">
        <v>2077</v>
      </c>
      <c r="G17" s="41" t="s">
        <v>28</v>
      </c>
      <c r="H17" s="42"/>
    </row>
    <row r="18" spans="2:8" ht="18" customHeight="1" x14ac:dyDescent="0.25">
      <c r="B18" s="40">
        <f>SUBTOTAL(3,C$4:C18)</f>
        <v>15</v>
      </c>
      <c r="C18" s="41">
        <v>24355144</v>
      </c>
      <c r="D18" s="41" t="s">
        <v>2153</v>
      </c>
      <c r="E18" s="41" t="s">
        <v>33</v>
      </c>
      <c r="F18" s="41" t="s">
        <v>2077</v>
      </c>
      <c r="G18" s="41" t="s">
        <v>28</v>
      </c>
      <c r="H18" s="42"/>
    </row>
    <row r="19" spans="2:8" ht="18" customHeight="1" x14ac:dyDescent="0.25">
      <c r="B19" s="40">
        <f>SUBTOTAL(3,C$4:C19)</f>
        <v>16</v>
      </c>
      <c r="C19" s="41">
        <v>24325448</v>
      </c>
      <c r="D19" s="41" t="s">
        <v>2285</v>
      </c>
      <c r="E19" s="41" t="s">
        <v>33</v>
      </c>
      <c r="F19" s="41" t="s">
        <v>2077</v>
      </c>
      <c r="G19" s="41" t="s">
        <v>28</v>
      </c>
      <c r="H19" s="42"/>
    </row>
    <row r="20" spans="2:8" ht="18" customHeight="1" x14ac:dyDescent="0.25">
      <c r="B20" s="40">
        <f>SUBTOTAL(3,C$4:C20)</f>
        <v>17</v>
      </c>
      <c r="C20" s="41">
        <v>24337155</v>
      </c>
      <c r="D20" s="41" t="s">
        <v>2347</v>
      </c>
      <c r="E20" s="41" t="s">
        <v>33</v>
      </c>
      <c r="F20" s="41" t="s">
        <v>2348</v>
      </c>
      <c r="G20" s="41" t="s">
        <v>28</v>
      </c>
      <c r="H20" s="42"/>
    </row>
    <row r="21" spans="2:8" ht="18" customHeight="1" x14ac:dyDescent="0.25">
      <c r="B21" s="40">
        <f>SUBTOTAL(3,C$4:C21)</f>
        <v>18</v>
      </c>
      <c r="C21" s="41">
        <v>24337153</v>
      </c>
      <c r="D21" s="41" t="s">
        <v>2133</v>
      </c>
      <c r="E21" s="41" t="s">
        <v>33</v>
      </c>
      <c r="F21" s="41" t="s">
        <v>2134</v>
      </c>
      <c r="G21" s="41" t="s">
        <v>28</v>
      </c>
      <c r="H21" s="42"/>
    </row>
    <row r="22" spans="2:8" ht="18" customHeight="1" x14ac:dyDescent="0.25">
      <c r="B22" s="40">
        <f>SUBTOTAL(3,C$4:C22)</f>
        <v>19</v>
      </c>
      <c r="C22" s="41">
        <v>24278691</v>
      </c>
      <c r="D22" s="41" t="s">
        <v>2396</v>
      </c>
      <c r="E22" s="41" t="s">
        <v>33</v>
      </c>
      <c r="F22" s="41" t="s">
        <v>2397</v>
      </c>
      <c r="G22" s="41" t="s">
        <v>28</v>
      </c>
      <c r="H22" s="42"/>
    </row>
    <row r="23" spans="2:8" ht="18" customHeight="1" x14ac:dyDescent="0.25">
      <c r="B23" s="40">
        <f>SUBTOTAL(3,C$4:C23)</f>
        <v>20</v>
      </c>
      <c r="C23" s="41">
        <v>24326859</v>
      </c>
      <c r="D23" s="41" t="s">
        <v>1229</v>
      </c>
      <c r="E23" s="41" t="s">
        <v>33</v>
      </c>
      <c r="F23" s="41" t="s">
        <v>1230</v>
      </c>
      <c r="G23" s="41" t="s">
        <v>28</v>
      </c>
      <c r="H23" s="42"/>
    </row>
    <row r="24" spans="2:8" ht="18" customHeight="1" x14ac:dyDescent="0.25">
      <c r="B24" s="40">
        <f>SUBTOTAL(3,C$4:C24)</f>
        <v>21</v>
      </c>
      <c r="C24" s="41">
        <v>24344415</v>
      </c>
      <c r="D24" s="41" t="s">
        <v>1776</v>
      </c>
      <c r="E24" s="41" t="s">
        <v>33</v>
      </c>
      <c r="F24" s="41" t="s">
        <v>1777</v>
      </c>
      <c r="G24" s="41" t="s">
        <v>28</v>
      </c>
      <c r="H24" s="42"/>
    </row>
    <row r="25" spans="2:8" ht="18" hidden="1" customHeight="1" x14ac:dyDescent="0.25">
      <c r="B25" s="40">
        <f>SUBTOTAL(3,C$4:C25)</f>
        <v>21</v>
      </c>
      <c r="C25" s="41">
        <v>24110349</v>
      </c>
      <c r="D25" s="41" t="s">
        <v>1827</v>
      </c>
      <c r="E25" s="41" t="s">
        <v>33</v>
      </c>
      <c r="F25" s="41" t="s">
        <v>1161</v>
      </c>
      <c r="G25" s="41" t="s">
        <v>27</v>
      </c>
      <c r="H25" s="42"/>
    </row>
    <row r="26" spans="2:8" ht="18" hidden="1" customHeight="1" x14ac:dyDescent="0.25">
      <c r="B26" s="40">
        <f>SUBTOTAL(3,C$4:C26)</f>
        <v>21</v>
      </c>
      <c r="C26" s="41">
        <v>24108182</v>
      </c>
      <c r="D26" s="41" t="s">
        <v>1858</v>
      </c>
      <c r="E26" s="41" t="s">
        <v>33</v>
      </c>
      <c r="F26" s="41" t="s">
        <v>1161</v>
      </c>
      <c r="G26" s="41" t="s">
        <v>27</v>
      </c>
      <c r="H26" s="42"/>
    </row>
    <row r="27" spans="2:8" ht="18" hidden="1" customHeight="1" x14ac:dyDescent="0.25">
      <c r="B27" s="40">
        <f>SUBTOTAL(3,C$4:C27)</f>
        <v>21</v>
      </c>
      <c r="C27" s="41">
        <v>24117701</v>
      </c>
      <c r="D27" s="41" t="s">
        <v>1897</v>
      </c>
      <c r="E27" s="41" t="s">
        <v>33</v>
      </c>
      <c r="F27" s="41" t="s">
        <v>1161</v>
      </c>
      <c r="G27" s="41" t="s">
        <v>27</v>
      </c>
      <c r="H27" s="42"/>
    </row>
    <row r="28" spans="2:8" ht="18" hidden="1" customHeight="1" x14ac:dyDescent="0.25">
      <c r="B28" s="40">
        <f>SUBTOTAL(3,C$4:C28)</f>
        <v>21</v>
      </c>
      <c r="C28" s="41">
        <v>24116872</v>
      </c>
      <c r="D28" s="41" t="s">
        <v>1918</v>
      </c>
      <c r="E28" s="41" t="s">
        <v>33</v>
      </c>
      <c r="F28" s="41" t="s">
        <v>1161</v>
      </c>
      <c r="G28" s="41" t="s">
        <v>27</v>
      </c>
      <c r="H28" s="42"/>
    </row>
    <row r="29" spans="2:8" ht="18" hidden="1" customHeight="1" x14ac:dyDescent="0.25">
      <c r="B29" s="40">
        <f>SUBTOTAL(3,C$4:C29)</f>
        <v>21</v>
      </c>
      <c r="C29" s="41">
        <v>24096416</v>
      </c>
      <c r="D29" s="41" t="s">
        <v>1932</v>
      </c>
      <c r="E29" s="41" t="s">
        <v>33</v>
      </c>
      <c r="F29" s="41" t="s">
        <v>1161</v>
      </c>
      <c r="G29" s="41" t="s">
        <v>27</v>
      </c>
      <c r="H29" s="42"/>
    </row>
    <row r="30" spans="2:8" ht="18" hidden="1" customHeight="1" x14ac:dyDescent="0.25">
      <c r="B30" s="40">
        <f>SUBTOTAL(3,C$4:C30)</f>
        <v>21</v>
      </c>
      <c r="C30" s="41">
        <v>24090073</v>
      </c>
      <c r="D30" s="41" t="s">
        <v>1943</v>
      </c>
      <c r="E30" s="41" t="s">
        <v>33</v>
      </c>
      <c r="F30" s="41" t="s">
        <v>1161</v>
      </c>
      <c r="G30" s="41" t="s">
        <v>27</v>
      </c>
      <c r="H30" s="42"/>
    </row>
    <row r="31" spans="2:8" ht="18" hidden="1" customHeight="1" x14ac:dyDescent="0.25">
      <c r="B31" s="40">
        <f>SUBTOTAL(3,C$4:C31)</f>
        <v>21</v>
      </c>
      <c r="C31" s="41">
        <v>24110932</v>
      </c>
      <c r="D31" s="41" t="s">
        <v>2035</v>
      </c>
      <c r="E31" s="41" t="s">
        <v>33</v>
      </c>
      <c r="F31" s="41" t="s">
        <v>1161</v>
      </c>
      <c r="G31" s="41" t="s">
        <v>27</v>
      </c>
      <c r="H31" s="42"/>
    </row>
    <row r="32" spans="2:8" ht="18" hidden="1" customHeight="1" x14ac:dyDescent="0.25">
      <c r="B32" s="40">
        <f>SUBTOTAL(3,C$4:C32)</f>
        <v>21</v>
      </c>
      <c r="C32" s="41">
        <v>24090115</v>
      </c>
      <c r="D32" s="41" t="s">
        <v>397</v>
      </c>
      <c r="E32" s="41" t="s">
        <v>33</v>
      </c>
      <c r="F32" s="41" t="s">
        <v>1161</v>
      </c>
      <c r="G32" s="41" t="s">
        <v>27</v>
      </c>
      <c r="H32" s="42"/>
    </row>
    <row r="33" spans="2:8" ht="18" hidden="1" customHeight="1" x14ac:dyDescent="0.25">
      <c r="B33" s="40">
        <f>SUBTOTAL(3,C$4:C33)</f>
        <v>21</v>
      </c>
      <c r="C33" s="41">
        <v>24089313</v>
      </c>
      <c r="D33" s="41" t="s">
        <v>1160</v>
      </c>
      <c r="E33" s="41" t="s">
        <v>33</v>
      </c>
      <c r="F33" s="41" t="s">
        <v>1161</v>
      </c>
      <c r="G33" s="41" t="s">
        <v>27</v>
      </c>
      <c r="H33" s="42" t="s">
        <v>1162</v>
      </c>
    </row>
    <row r="34" spans="2:8" ht="18" hidden="1" customHeight="1" x14ac:dyDescent="0.25">
      <c r="B34" s="40">
        <f>SUBTOTAL(3,C$4:C34)</f>
        <v>21</v>
      </c>
      <c r="C34" s="41">
        <v>24101796</v>
      </c>
      <c r="D34" s="41" t="s">
        <v>1174</v>
      </c>
      <c r="E34" s="41" t="s">
        <v>33</v>
      </c>
      <c r="F34" s="41" t="s">
        <v>1161</v>
      </c>
      <c r="G34" s="41" t="s">
        <v>27</v>
      </c>
      <c r="H34" s="42"/>
    </row>
    <row r="35" spans="2:8" ht="18" hidden="1" customHeight="1" x14ac:dyDescent="0.25">
      <c r="B35" s="40">
        <f>SUBTOTAL(3,C$4:C35)</f>
        <v>21</v>
      </c>
      <c r="C35" s="41">
        <v>24115082</v>
      </c>
      <c r="D35" s="41" t="s">
        <v>1268</v>
      </c>
      <c r="E35" s="41" t="s">
        <v>33</v>
      </c>
      <c r="F35" s="41" t="s">
        <v>1161</v>
      </c>
      <c r="G35" s="41" t="s">
        <v>27</v>
      </c>
      <c r="H35" s="42"/>
    </row>
    <row r="36" spans="2:8" ht="18" hidden="1" customHeight="1" x14ac:dyDescent="0.25">
      <c r="B36" s="40">
        <f>SUBTOTAL(3,C$4:C36)</f>
        <v>21</v>
      </c>
      <c r="C36" s="41">
        <v>24103936</v>
      </c>
      <c r="D36" s="41" t="s">
        <v>2122</v>
      </c>
      <c r="E36" s="41" t="s">
        <v>33</v>
      </c>
      <c r="F36" s="41" t="s">
        <v>1161</v>
      </c>
      <c r="G36" s="41" t="s">
        <v>27</v>
      </c>
      <c r="H36" s="42" t="s">
        <v>2123</v>
      </c>
    </row>
    <row r="37" spans="2:8" ht="18" hidden="1" customHeight="1" x14ac:dyDescent="0.25">
      <c r="B37" s="40">
        <f>SUBTOTAL(3,C$4:C37)</f>
        <v>21</v>
      </c>
      <c r="C37" s="41">
        <v>24114540</v>
      </c>
      <c r="D37" s="41" t="s">
        <v>2233</v>
      </c>
      <c r="E37" s="41" t="s">
        <v>33</v>
      </c>
      <c r="F37" s="41" t="s">
        <v>1161</v>
      </c>
      <c r="G37" s="41" t="s">
        <v>27</v>
      </c>
      <c r="H37" s="42"/>
    </row>
    <row r="38" spans="2:8" ht="18" hidden="1" customHeight="1" x14ac:dyDescent="0.25">
      <c r="B38" s="40">
        <f>SUBTOTAL(3,C$4:C38)</f>
        <v>21</v>
      </c>
      <c r="C38" s="41">
        <v>24099073</v>
      </c>
      <c r="D38" s="41" t="s">
        <v>1364</v>
      </c>
      <c r="E38" s="41" t="s">
        <v>33</v>
      </c>
      <c r="F38" s="41" t="s">
        <v>1161</v>
      </c>
      <c r="G38" s="41" t="s">
        <v>27</v>
      </c>
      <c r="H38" s="42"/>
    </row>
    <row r="39" spans="2:8" ht="18" hidden="1" customHeight="1" x14ac:dyDescent="0.25">
      <c r="B39" s="40">
        <f>SUBTOTAL(3,C$4:C39)</f>
        <v>21</v>
      </c>
      <c r="C39" s="41">
        <v>24107202</v>
      </c>
      <c r="D39" s="41" t="s">
        <v>2254</v>
      </c>
      <c r="E39" s="41" t="s">
        <v>33</v>
      </c>
      <c r="F39" s="41" t="s">
        <v>1161</v>
      </c>
      <c r="G39" s="41" t="s">
        <v>27</v>
      </c>
      <c r="H39" s="42"/>
    </row>
    <row r="40" spans="2:8" ht="18" hidden="1" customHeight="1" x14ac:dyDescent="0.25">
      <c r="B40" s="40">
        <f>SUBTOTAL(3,C$4:C40)</f>
        <v>21</v>
      </c>
      <c r="C40" s="41">
        <v>24111156</v>
      </c>
      <c r="D40" s="41" t="s">
        <v>2257</v>
      </c>
      <c r="E40" s="41" t="s">
        <v>33</v>
      </c>
      <c r="F40" s="41" t="s">
        <v>1161</v>
      </c>
      <c r="G40" s="41" t="s">
        <v>27</v>
      </c>
      <c r="H40" s="42" t="s">
        <v>2258</v>
      </c>
    </row>
    <row r="41" spans="2:8" ht="18" hidden="1" customHeight="1" x14ac:dyDescent="0.25">
      <c r="B41" s="40">
        <f>SUBTOTAL(3,C$4:C41)</f>
        <v>21</v>
      </c>
      <c r="C41" s="41">
        <v>24278593</v>
      </c>
      <c r="D41" s="41" t="s">
        <v>2268</v>
      </c>
      <c r="E41" s="41" t="s">
        <v>33</v>
      </c>
      <c r="F41" s="41" t="s">
        <v>1161</v>
      </c>
      <c r="G41" s="41" t="s">
        <v>27</v>
      </c>
      <c r="H41" s="42" t="s">
        <v>2269</v>
      </c>
    </row>
    <row r="42" spans="2:8" ht="18" hidden="1" customHeight="1" x14ac:dyDescent="0.25">
      <c r="B42" s="40">
        <f>SUBTOTAL(3,C$4:C42)</f>
        <v>21</v>
      </c>
      <c r="C42" s="41">
        <v>24112283</v>
      </c>
      <c r="D42" s="41" t="s">
        <v>2289</v>
      </c>
      <c r="E42" s="41" t="s">
        <v>33</v>
      </c>
      <c r="F42" s="41" t="s">
        <v>1161</v>
      </c>
      <c r="G42" s="41" t="s">
        <v>27</v>
      </c>
      <c r="H42" s="42"/>
    </row>
    <row r="43" spans="2:8" ht="18" customHeight="1" x14ac:dyDescent="0.25">
      <c r="B43" s="40">
        <f>SUBTOTAL(3,C$4:C43)</f>
        <v>22</v>
      </c>
      <c r="C43" s="41">
        <v>24035795</v>
      </c>
      <c r="D43" s="41" t="s">
        <v>1080</v>
      </c>
      <c r="E43" s="41" t="s">
        <v>18</v>
      </c>
      <c r="F43" s="41" t="s">
        <v>1079</v>
      </c>
      <c r="G43" s="41" t="s">
        <v>24</v>
      </c>
      <c r="H43" s="42"/>
    </row>
    <row r="44" spans="2:8" ht="18" customHeight="1" x14ac:dyDescent="0.25">
      <c r="B44" s="40">
        <f>SUBTOTAL(3,C$4:C44)</f>
        <v>23</v>
      </c>
      <c r="C44" s="41">
        <v>24020286</v>
      </c>
      <c r="D44" s="41" t="s">
        <v>1078</v>
      </c>
      <c r="E44" s="41" t="s">
        <v>18</v>
      </c>
      <c r="F44" s="41" t="s">
        <v>1079</v>
      </c>
      <c r="G44" s="41" t="s">
        <v>24</v>
      </c>
      <c r="H44" s="42"/>
    </row>
    <row r="45" spans="2:8" ht="18" customHeight="1" x14ac:dyDescent="0.25">
      <c r="B45" s="40">
        <f>SUBTOTAL(3,C$4:C45)</f>
        <v>24</v>
      </c>
      <c r="C45" s="41">
        <v>24035166</v>
      </c>
      <c r="D45" s="41" t="s">
        <v>1081</v>
      </c>
      <c r="E45" s="41" t="s">
        <v>18</v>
      </c>
      <c r="F45" s="41" t="s">
        <v>1079</v>
      </c>
      <c r="G45" s="41" t="s">
        <v>24</v>
      </c>
      <c r="H45" s="42" t="s">
        <v>1082</v>
      </c>
    </row>
    <row r="46" spans="2:8" ht="18" customHeight="1" x14ac:dyDescent="0.25">
      <c r="B46" s="40">
        <f>SUBTOTAL(3,C$4:C46)</f>
        <v>25</v>
      </c>
      <c r="C46" s="41">
        <v>24220112</v>
      </c>
      <c r="D46" s="41" t="s">
        <v>1083</v>
      </c>
      <c r="E46" s="41" t="s">
        <v>18</v>
      </c>
      <c r="F46" s="41" t="s">
        <v>1079</v>
      </c>
      <c r="G46" s="41" t="s">
        <v>24</v>
      </c>
      <c r="H46" s="42" t="s">
        <v>1084</v>
      </c>
    </row>
    <row r="47" spans="2:8" ht="18" customHeight="1" x14ac:dyDescent="0.25">
      <c r="B47" s="40">
        <f>SUBTOTAL(3,C$4:C47)</f>
        <v>26</v>
      </c>
      <c r="C47" s="41">
        <v>24250782</v>
      </c>
      <c r="D47" s="41" t="s">
        <v>1085</v>
      </c>
      <c r="E47" s="41" t="s">
        <v>18</v>
      </c>
      <c r="F47" s="41" t="s">
        <v>1086</v>
      </c>
      <c r="G47" s="41" t="s">
        <v>24</v>
      </c>
      <c r="H47" s="42" t="s">
        <v>1087</v>
      </c>
    </row>
    <row r="48" spans="2:8" ht="18" customHeight="1" x14ac:dyDescent="0.25">
      <c r="B48" s="40">
        <f>SUBTOTAL(3,C$4:C48)</f>
        <v>27</v>
      </c>
      <c r="C48" s="41">
        <v>24024660</v>
      </c>
      <c r="D48" s="41" t="s">
        <v>821</v>
      </c>
      <c r="E48" s="41" t="s">
        <v>29</v>
      </c>
      <c r="F48" s="41" t="s">
        <v>29</v>
      </c>
      <c r="G48" s="41" t="s">
        <v>24</v>
      </c>
      <c r="H48" s="42"/>
    </row>
    <row r="49" spans="2:8" ht="18" customHeight="1" x14ac:dyDescent="0.25">
      <c r="B49" s="40">
        <f>SUBTOTAL(3,C$4:C49)</f>
        <v>28</v>
      </c>
      <c r="C49" s="41">
        <v>24024369</v>
      </c>
      <c r="D49" s="41" t="s">
        <v>358</v>
      </c>
      <c r="E49" s="41" t="s">
        <v>29</v>
      </c>
      <c r="F49" s="41" t="s">
        <v>359</v>
      </c>
      <c r="G49" s="41" t="s">
        <v>24</v>
      </c>
      <c r="H49" s="42"/>
    </row>
    <row r="50" spans="2:8" ht="18" customHeight="1" x14ac:dyDescent="0.25">
      <c r="B50" s="40">
        <f>SUBTOTAL(3,C$4:C50)</f>
        <v>29</v>
      </c>
      <c r="C50" s="41">
        <v>24030863</v>
      </c>
      <c r="D50" s="41" t="s">
        <v>543</v>
      </c>
      <c r="E50" s="41" t="s">
        <v>29</v>
      </c>
      <c r="F50" s="41" t="s">
        <v>544</v>
      </c>
      <c r="G50" s="41" t="s">
        <v>26</v>
      </c>
      <c r="H50" s="42"/>
    </row>
    <row r="51" spans="2:8" ht="18" customHeight="1" x14ac:dyDescent="0.25">
      <c r="B51" s="40">
        <f>SUBTOTAL(3,C$4:C51)</f>
        <v>30</v>
      </c>
      <c r="C51" s="41">
        <v>24031966</v>
      </c>
      <c r="D51" s="41" t="s">
        <v>874</v>
      </c>
      <c r="E51" s="41" t="s">
        <v>29</v>
      </c>
      <c r="F51" s="41" t="s">
        <v>544</v>
      </c>
      <c r="G51" s="41" t="s">
        <v>24</v>
      </c>
      <c r="H51" s="42"/>
    </row>
    <row r="52" spans="2:8" ht="18" customHeight="1" x14ac:dyDescent="0.25">
      <c r="B52" s="40">
        <f>SUBTOTAL(3,C$4:C52)</f>
        <v>31</v>
      </c>
      <c r="C52" s="41">
        <v>24033904</v>
      </c>
      <c r="D52" s="41" t="s">
        <v>126</v>
      </c>
      <c r="E52" s="41" t="s">
        <v>29</v>
      </c>
      <c r="F52" s="41" t="s">
        <v>127</v>
      </c>
      <c r="G52" s="41" t="s">
        <v>24</v>
      </c>
      <c r="H52" s="42"/>
    </row>
    <row r="53" spans="2:8" ht="18" customHeight="1" x14ac:dyDescent="0.25">
      <c r="B53" s="40">
        <f>SUBTOTAL(3,C$4:C53)</f>
        <v>32</v>
      </c>
      <c r="C53" s="41">
        <v>24024407</v>
      </c>
      <c r="D53" s="41" t="s">
        <v>175</v>
      </c>
      <c r="E53" s="41" t="s">
        <v>29</v>
      </c>
      <c r="F53" s="41" t="s">
        <v>127</v>
      </c>
      <c r="G53" s="41" t="s">
        <v>24</v>
      </c>
      <c r="H53" s="42"/>
    </row>
    <row r="54" spans="2:8" ht="18" customHeight="1" x14ac:dyDescent="0.25">
      <c r="B54" s="40">
        <f>SUBTOTAL(3,C$4:C54)</f>
        <v>33</v>
      </c>
      <c r="C54" s="41">
        <v>24036017</v>
      </c>
      <c r="D54" s="41" t="s">
        <v>257</v>
      </c>
      <c r="E54" s="41" t="s">
        <v>29</v>
      </c>
      <c r="F54" s="41" t="s">
        <v>127</v>
      </c>
      <c r="G54" s="41" t="s">
        <v>24</v>
      </c>
      <c r="H54" s="42"/>
    </row>
    <row r="55" spans="2:8" ht="18" customHeight="1" x14ac:dyDescent="0.25">
      <c r="B55" s="40">
        <f>SUBTOTAL(3,C$4:C55)</f>
        <v>34</v>
      </c>
      <c r="C55" s="41">
        <v>24022884</v>
      </c>
      <c r="D55" s="41" t="s">
        <v>732</v>
      </c>
      <c r="E55" s="41" t="s">
        <v>29</v>
      </c>
      <c r="F55" s="41" t="s">
        <v>127</v>
      </c>
      <c r="G55" s="41" t="s">
        <v>26</v>
      </c>
      <c r="H55" s="42"/>
    </row>
    <row r="56" spans="2:8" ht="18" customHeight="1" x14ac:dyDescent="0.25">
      <c r="B56" s="40">
        <f>SUBTOTAL(3,C$4:C56)</f>
        <v>35</v>
      </c>
      <c r="C56" s="41">
        <v>24034262</v>
      </c>
      <c r="D56" s="41" t="s">
        <v>782</v>
      </c>
      <c r="E56" s="41" t="s">
        <v>29</v>
      </c>
      <c r="F56" s="41" t="s">
        <v>127</v>
      </c>
      <c r="G56" s="41" t="s">
        <v>24</v>
      </c>
      <c r="H56" s="42"/>
    </row>
    <row r="57" spans="2:8" ht="18" customHeight="1" x14ac:dyDescent="0.25">
      <c r="B57" s="40">
        <f>SUBTOTAL(3,C$4:C57)</f>
        <v>36</v>
      </c>
      <c r="C57" s="41">
        <v>24028477</v>
      </c>
      <c r="D57" s="41" t="s">
        <v>813</v>
      </c>
      <c r="E57" s="41" t="s">
        <v>29</v>
      </c>
      <c r="F57" s="41" t="s">
        <v>127</v>
      </c>
      <c r="G57" s="41" t="s">
        <v>24</v>
      </c>
      <c r="H57" s="42"/>
    </row>
    <row r="58" spans="2:8" ht="18" customHeight="1" x14ac:dyDescent="0.25">
      <c r="B58" s="40">
        <f>SUBTOTAL(3,C$4:C58)</f>
        <v>37</v>
      </c>
      <c r="C58" s="41">
        <v>24027717</v>
      </c>
      <c r="D58" s="41" t="s">
        <v>838</v>
      </c>
      <c r="E58" s="41" t="s">
        <v>29</v>
      </c>
      <c r="F58" s="41" t="s">
        <v>127</v>
      </c>
      <c r="G58" s="41" t="s">
        <v>24</v>
      </c>
      <c r="H58" s="42"/>
    </row>
    <row r="59" spans="2:8" ht="18" hidden="1" customHeight="1" x14ac:dyDescent="0.25">
      <c r="B59" s="40">
        <f>SUBTOTAL(3,C$4:C59)</f>
        <v>37</v>
      </c>
      <c r="C59" s="41">
        <v>24090765</v>
      </c>
      <c r="D59" s="41" t="s">
        <v>480</v>
      </c>
      <c r="E59" s="41" t="s">
        <v>29</v>
      </c>
      <c r="F59" s="41" t="s">
        <v>481</v>
      </c>
      <c r="G59" s="41" t="s">
        <v>27</v>
      </c>
      <c r="H59" s="42" t="s">
        <v>287</v>
      </c>
    </row>
    <row r="60" spans="2:8" ht="18" customHeight="1" x14ac:dyDescent="0.25">
      <c r="B60" s="40">
        <f>SUBTOTAL(3,C$4:C60)</f>
        <v>38</v>
      </c>
      <c r="C60" s="41">
        <v>24020223</v>
      </c>
      <c r="D60" s="41" t="s">
        <v>61</v>
      </c>
      <c r="E60" s="41" t="s">
        <v>29</v>
      </c>
      <c r="F60" s="41" t="s">
        <v>62</v>
      </c>
      <c r="G60" s="41" t="s">
        <v>26</v>
      </c>
      <c r="H60" s="42"/>
    </row>
    <row r="61" spans="2:8" ht="18" customHeight="1" x14ac:dyDescent="0.25">
      <c r="B61" s="40">
        <f>SUBTOTAL(3,C$4:C61)</f>
        <v>39</v>
      </c>
      <c r="C61" s="41">
        <v>24288310</v>
      </c>
      <c r="D61" s="41" t="s">
        <v>63</v>
      </c>
      <c r="E61" s="41" t="s">
        <v>29</v>
      </c>
      <c r="F61" s="41" t="s">
        <v>62</v>
      </c>
      <c r="G61" s="41" t="s">
        <v>26</v>
      </c>
      <c r="H61" s="42"/>
    </row>
    <row r="62" spans="2:8" ht="18" customHeight="1" x14ac:dyDescent="0.25">
      <c r="B62" s="40">
        <f>SUBTOTAL(3,C$4:C62)</f>
        <v>40</v>
      </c>
      <c r="C62" s="41">
        <v>24026532</v>
      </c>
      <c r="D62" s="41" t="s">
        <v>179</v>
      </c>
      <c r="E62" s="41" t="s">
        <v>29</v>
      </c>
      <c r="F62" s="41" t="s">
        <v>62</v>
      </c>
      <c r="G62" s="41" t="s">
        <v>26</v>
      </c>
      <c r="H62" s="42" t="s">
        <v>38</v>
      </c>
    </row>
    <row r="63" spans="2:8" ht="18" customHeight="1" x14ac:dyDescent="0.25">
      <c r="B63" s="40">
        <f>SUBTOTAL(3,C$4:C63)</f>
        <v>41</v>
      </c>
      <c r="C63" s="41">
        <v>24020321</v>
      </c>
      <c r="D63" s="41" t="s">
        <v>205</v>
      </c>
      <c r="E63" s="41" t="s">
        <v>29</v>
      </c>
      <c r="F63" s="41" t="s">
        <v>62</v>
      </c>
      <c r="G63" s="41" t="s">
        <v>26</v>
      </c>
      <c r="H63" s="42"/>
    </row>
    <row r="64" spans="2:8" ht="18" customHeight="1" x14ac:dyDescent="0.25">
      <c r="B64" s="40">
        <f>SUBTOTAL(3,C$4:C64)</f>
        <v>42</v>
      </c>
      <c r="C64" s="41">
        <v>24030274</v>
      </c>
      <c r="D64" s="41" t="s">
        <v>222</v>
      </c>
      <c r="E64" s="41" t="s">
        <v>29</v>
      </c>
      <c r="F64" s="41" t="s">
        <v>62</v>
      </c>
      <c r="G64" s="41" t="s">
        <v>26</v>
      </c>
      <c r="H64" s="42"/>
    </row>
    <row r="65" spans="2:8" ht="18" customHeight="1" x14ac:dyDescent="0.25">
      <c r="B65" s="40">
        <f>SUBTOTAL(3,C$4:C65)</f>
        <v>43</v>
      </c>
      <c r="C65" s="41">
        <v>24030618</v>
      </c>
      <c r="D65" s="41" t="s">
        <v>267</v>
      </c>
      <c r="E65" s="41" t="s">
        <v>29</v>
      </c>
      <c r="F65" s="41" t="s">
        <v>62</v>
      </c>
      <c r="G65" s="41" t="s">
        <v>26</v>
      </c>
      <c r="H65" s="42"/>
    </row>
    <row r="66" spans="2:8" ht="18" customHeight="1" x14ac:dyDescent="0.25">
      <c r="B66" s="40">
        <f>SUBTOTAL(3,C$4:C66)</f>
        <v>44</v>
      </c>
      <c r="C66" s="41">
        <v>24030078</v>
      </c>
      <c r="D66" s="41" t="s">
        <v>290</v>
      </c>
      <c r="E66" s="41" t="s">
        <v>29</v>
      </c>
      <c r="F66" s="41" t="s">
        <v>62</v>
      </c>
      <c r="G66" s="41" t="s">
        <v>26</v>
      </c>
      <c r="H66" s="42"/>
    </row>
    <row r="67" spans="2:8" ht="18" customHeight="1" x14ac:dyDescent="0.25">
      <c r="B67" s="40">
        <f>SUBTOTAL(3,C$4:C67)</f>
        <v>45</v>
      </c>
      <c r="C67" s="41">
        <v>24120608</v>
      </c>
      <c r="D67" s="41" t="s">
        <v>345</v>
      </c>
      <c r="E67" s="41" t="s">
        <v>29</v>
      </c>
      <c r="F67" s="41" t="s">
        <v>62</v>
      </c>
      <c r="G67" s="41" t="s">
        <v>26</v>
      </c>
      <c r="H67" s="42"/>
    </row>
    <row r="68" spans="2:8" ht="18" customHeight="1" x14ac:dyDescent="0.25">
      <c r="B68" s="40">
        <f>SUBTOTAL(3,C$4:C68)</f>
        <v>46</v>
      </c>
      <c r="C68" s="41">
        <v>24034222</v>
      </c>
      <c r="D68" s="41" t="s">
        <v>363</v>
      </c>
      <c r="E68" s="41" t="s">
        <v>29</v>
      </c>
      <c r="F68" s="41" t="s">
        <v>62</v>
      </c>
      <c r="G68" s="41" t="s">
        <v>26</v>
      </c>
      <c r="H68" s="42"/>
    </row>
    <row r="69" spans="2:8" ht="18" customHeight="1" x14ac:dyDescent="0.25">
      <c r="B69" s="40">
        <f>SUBTOTAL(3,C$4:C69)</f>
        <v>47</v>
      </c>
      <c r="C69" s="41">
        <v>24030091</v>
      </c>
      <c r="D69" s="41" t="s">
        <v>379</v>
      </c>
      <c r="E69" s="41" t="s">
        <v>29</v>
      </c>
      <c r="F69" s="41" t="s">
        <v>62</v>
      </c>
      <c r="G69" s="41" t="s">
        <v>26</v>
      </c>
      <c r="H69" s="42"/>
    </row>
    <row r="70" spans="2:8" ht="18" customHeight="1" x14ac:dyDescent="0.25">
      <c r="B70" s="40">
        <f>SUBTOTAL(3,C$4:C70)</f>
        <v>48</v>
      </c>
      <c r="C70" s="41">
        <v>24025536</v>
      </c>
      <c r="D70" s="41" t="s">
        <v>435</v>
      </c>
      <c r="E70" s="41" t="s">
        <v>29</v>
      </c>
      <c r="F70" s="41" t="s">
        <v>62</v>
      </c>
      <c r="G70" s="41" t="s">
        <v>26</v>
      </c>
      <c r="H70" s="42"/>
    </row>
    <row r="71" spans="2:8" ht="18" customHeight="1" x14ac:dyDescent="0.25">
      <c r="B71" s="40">
        <f>SUBTOTAL(3,C$4:C71)</f>
        <v>49</v>
      </c>
      <c r="C71" s="41">
        <v>24038475</v>
      </c>
      <c r="D71" s="41" t="s">
        <v>456</v>
      </c>
      <c r="E71" s="41" t="s">
        <v>29</v>
      </c>
      <c r="F71" s="41" t="s">
        <v>62</v>
      </c>
      <c r="G71" s="41" t="s">
        <v>26</v>
      </c>
      <c r="H71" s="42"/>
    </row>
    <row r="72" spans="2:8" ht="18" customHeight="1" x14ac:dyDescent="0.25">
      <c r="B72" s="40">
        <f>SUBTOTAL(3,C$4:C72)</f>
        <v>50</v>
      </c>
      <c r="C72" s="41">
        <v>24225235</v>
      </c>
      <c r="D72" s="41" t="s">
        <v>475</v>
      </c>
      <c r="E72" s="41" t="s">
        <v>29</v>
      </c>
      <c r="F72" s="41" t="s">
        <v>62</v>
      </c>
      <c r="G72" s="41" t="s">
        <v>26</v>
      </c>
      <c r="H72" s="42"/>
    </row>
    <row r="73" spans="2:8" ht="18" customHeight="1" x14ac:dyDescent="0.25">
      <c r="B73" s="40">
        <f>SUBTOTAL(3,C$4:C73)</f>
        <v>51</v>
      </c>
      <c r="C73" s="41">
        <v>24038551</v>
      </c>
      <c r="D73" s="41" t="s">
        <v>500</v>
      </c>
      <c r="E73" s="41" t="s">
        <v>29</v>
      </c>
      <c r="F73" s="41" t="s">
        <v>62</v>
      </c>
      <c r="G73" s="41" t="s">
        <v>26</v>
      </c>
      <c r="H73" s="42"/>
    </row>
    <row r="74" spans="2:8" ht="18" customHeight="1" x14ac:dyDescent="0.25">
      <c r="B74" s="40">
        <f>SUBTOTAL(3,C$4:C74)</f>
        <v>52</v>
      </c>
      <c r="C74" s="41">
        <v>24040145</v>
      </c>
      <c r="D74" s="41" t="s">
        <v>515</v>
      </c>
      <c r="E74" s="41" t="s">
        <v>29</v>
      </c>
      <c r="F74" s="41" t="s">
        <v>62</v>
      </c>
      <c r="G74" s="41" t="s">
        <v>26</v>
      </c>
      <c r="H74" s="42"/>
    </row>
    <row r="75" spans="2:8" ht="18" customHeight="1" x14ac:dyDescent="0.25">
      <c r="B75" s="40">
        <f>SUBTOTAL(3,C$4:C75)</f>
        <v>53</v>
      </c>
      <c r="C75" s="41">
        <v>24037398</v>
      </c>
      <c r="D75" s="41" t="s">
        <v>528</v>
      </c>
      <c r="E75" s="41" t="s">
        <v>29</v>
      </c>
      <c r="F75" s="41" t="s">
        <v>62</v>
      </c>
      <c r="G75" s="41" t="s">
        <v>26</v>
      </c>
      <c r="H75" s="42"/>
    </row>
    <row r="76" spans="2:8" ht="18" customHeight="1" x14ac:dyDescent="0.25">
      <c r="B76" s="40">
        <f>SUBTOTAL(3,C$4:C76)</f>
        <v>54</v>
      </c>
      <c r="C76" s="41">
        <v>24032588</v>
      </c>
      <c r="D76" s="41" t="s">
        <v>586</v>
      </c>
      <c r="E76" s="41" t="s">
        <v>29</v>
      </c>
      <c r="F76" s="41" t="s">
        <v>62</v>
      </c>
      <c r="G76" s="41" t="s">
        <v>26</v>
      </c>
      <c r="H76" s="42"/>
    </row>
    <row r="77" spans="2:8" ht="18" customHeight="1" x14ac:dyDescent="0.25">
      <c r="B77" s="40">
        <f>SUBTOTAL(3,C$4:C77)</f>
        <v>55</v>
      </c>
      <c r="C77" s="41">
        <v>24029215</v>
      </c>
      <c r="D77" s="41" t="s">
        <v>646</v>
      </c>
      <c r="E77" s="41" t="s">
        <v>29</v>
      </c>
      <c r="F77" s="41" t="s">
        <v>62</v>
      </c>
      <c r="G77" s="41" t="s">
        <v>26</v>
      </c>
      <c r="H77" s="42"/>
    </row>
    <row r="78" spans="2:8" ht="18" customHeight="1" x14ac:dyDescent="0.25">
      <c r="B78" s="40">
        <f>SUBTOTAL(3,C$4:C78)</f>
        <v>56</v>
      </c>
      <c r="C78" s="41">
        <v>24030694</v>
      </c>
      <c r="D78" s="41" t="s">
        <v>678</v>
      </c>
      <c r="E78" s="41" t="s">
        <v>29</v>
      </c>
      <c r="F78" s="41" t="s">
        <v>62</v>
      </c>
      <c r="G78" s="41" t="s">
        <v>26</v>
      </c>
      <c r="H78" s="42"/>
    </row>
    <row r="79" spans="2:8" ht="18" customHeight="1" x14ac:dyDescent="0.25">
      <c r="B79" s="40">
        <f>SUBTOTAL(3,C$4:C79)</f>
        <v>57</v>
      </c>
      <c r="C79" s="41">
        <v>24249336</v>
      </c>
      <c r="D79" s="41" t="s">
        <v>720</v>
      </c>
      <c r="E79" s="41" t="s">
        <v>29</v>
      </c>
      <c r="F79" s="41" t="s">
        <v>62</v>
      </c>
      <c r="G79" s="41" t="s">
        <v>26</v>
      </c>
      <c r="H79" s="42"/>
    </row>
    <row r="80" spans="2:8" ht="18" customHeight="1" x14ac:dyDescent="0.25">
      <c r="B80" s="40">
        <f>SUBTOTAL(3,C$4:C80)</f>
        <v>58</v>
      </c>
      <c r="C80" s="41">
        <v>24034306</v>
      </c>
      <c r="D80" s="41" t="s">
        <v>746</v>
      </c>
      <c r="E80" s="41" t="s">
        <v>29</v>
      </c>
      <c r="F80" s="41" t="s">
        <v>62</v>
      </c>
      <c r="G80" s="41" t="s">
        <v>26</v>
      </c>
      <c r="H80" s="42"/>
    </row>
    <row r="81" spans="2:8" ht="18" customHeight="1" x14ac:dyDescent="0.25">
      <c r="B81" s="40">
        <f>SUBTOTAL(3,C$4:C81)</f>
        <v>59</v>
      </c>
      <c r="C81" s="41">
        <v>24301099</v>
      </c>
      <c r="D81" s="41" t="s">
        <v>774</v>
      </c>
      <c r="E81" s="41" t="s">
        <v>29</v>
      </c>
      <c r="F81" s="41" t="s">
        <v>62</v>
      </c>
      <c r="G81" s="41" t="s">
        <v>26</v>
      </c>
      <c r="H81" s="42"/>
    </row>
    <row r="82" spans="2:8" ht="18" customHeight="1" x14ac:dyDescent="0.25">
      <c r="B82" s="40">
        <f>SUBTOTAL(3,C$4:C82)</f>
        <v>60</v>
      </c>
      <c r="C82" s="41">
        <v>24025012</v>
      </c>
      <c r="D82" s="41" t="s">
        <v>829</v>
      </c>
      <c r="E82" s="41" t="s">
        <v>29</v>
      </c>
      <c r="F82" s="41" t="s">
        <v>62</v>
      </c>
      <c r="G82" s="41" t="s">
        <v>26</v>
      </c>
      <c r="H82" s="42" t="s">
        <v>386</v>
      </c>
    </row>
    <row r="83" spans="2:8" ht="18" customHeight="1" x14ac:dyDescent="0.25">
      <c r="B83" s="40">
        <f>SUBTOTAL(3,C$4:C83)</f>
        <v>61</v>
      </c>
      <c r="C83" s="41">
        <v>24039119</v>
      </c>
      <c r="D83" s="41" t="s">
        <v>858</v>
      </c>
      <c r="E83" s="41" t="s">
        <v>29</v>
      </c>
      <c r="F83" s="41" t="s">
        <v>62</v>
      </c>
      <c r="G83" s="41" t="s">
        <v>26</v>
      </c>
      <c r="H83" s="42" t="s">
        <v>287</v>
      </c>
    </row>
    <row r="84" spans="2:8" ht="18" customHeight="1" x14ac:dyDescent="0.25">
      <c r="B84" s="40">
        <f>SUBTOTAL(3,C$4:C84)</f>
        <v>62</v>
      </c>
      <c r="C84" s="41">
        <v>24038863</v>
      </c>
      <c r="D84" s="41" t="s">
        <v>863</v>
      </c>
      <c r="E84" s="41" t="s">
        <v>29</v>
      </c>
      <c r="F84" s="41" t="s">
        <v>62</v>
      </c>
      <c r="G84" s="41" t="s">
        <v>26</v>
      </c>
      <c r="H84" s="42"/>
    </row>
    <row r="85" spans="2:8" ht="18" customHeight="1" x14ac:dyDescent="0.25">
      <c r="B85" s="40">
        <f>SUBTOTAL(3,C$4:C85)</f>
        <v>63</v>
      </c>
      <c r="C85" s="41">
        <v>24025009</v>
      </c>
      <c r="D85" s="41" t="s">
        <v>888</v>
      </c>
      <c r="E85" s="41" t="s">
        <v>29</v>
      </c>
      <c r="F85" s="41" t="s">
        <v>62</v>
      </c>
      <c r="G85" s="41" t="s">
        <v>26</v>
      </c>
      <c r="H85" s="42"/>
    </row>
    <row r="86" spans="2:8" ht="18" customHeight="1" x14ac:dyDescent="0.25">
      <c r="B86" s="40">
        <f>SUBTOTAL(3,C$4:C86)</f>
        <v>64</v>
      </c>
      <c r="C86" s="41">
        <v>24316389</v>
      </c>
      <c r="D86" s="41" t="s">
        <v>56</v>
      </c>
      <c r="E86" s="41" t="s">
        <v>29</v>
      </c>
      <c r="F86" s="41" t="s">
        <v>57</v>
      </c>
      <c r="G86" s="41" t="s">
        <v>26</v>
      </c>
      <c r="H86" s="42"/>
    </row>
    <row r="87" spans="2:8" ht="18" customHeight="1" x14ac:dyDescent="0.25">
      <c r="B87" s="40">
        <f>SUBTOTAL(3,C$4:C87)</f>
        <v>65</v>
      </c>
      <c r="C87" s="41">
        <v>24088363</v>
      </c>
      <c r="D87" s="41" t="s">
        <v>134</v>
      </c>
      <c r="E87" s="41" t="s">
        <v>29</v>
      </c>
      <c r="F87" s="41" t="s">
        <v>57</v>
      </c>
      <c r="G87" s="41" t="s">
        <v>28</v>
      </c>
      <c r="H87" s="42"/>
    </row>
    <row r="88" spans="2:8" ht="18" customHeight="1" x14ac:dyDescent="0.25">
      <c r="B88" s="40">
        <f>SUBTOTAL(3,C$4:C88)</f>
        <v>66</v>
      </c>
      <c r="C88" s="41">
        <v>24231237</v>
      </c>
      <c r="D88" s="41" t="s">
        <v>141</v>
      </c>
      <c r="E88" s="41" t="s">
        <v>29</v>
      </c>
      <c r="F88" s="41" t="s">
        <v>57</v>
      </c>
      <c r="G88" s="41" t="s">
        <v>26</v>
      </c>
      <c r="H88" s="42"/>
    </row>
    <row r="89" spans="2:8" ht="18" customHeight="1" x14ac:dyDescent="0.25">
      <c r="B89" s="40">
        <f>SUBTOTAL(3,C$4:C89)</f>
        <v>67</v>
      </c>
      <c r="C89" s="41">
        <v>24024150</v>
      </c>
      <c r="D89" s="41" t="s">
        <v>159</v>
      </c>
      <c r="E89" s="41" t="s">
        <v>29</v>
      </c>
      <c r="F89" s="41" t="s">
        <v>57</v>
      </c>
      <c r="G89" s="41" t="s">
        <v>26</v>
      </c>
      <c r="H89" s="42"/>
    </row>
    <row r="90" spans="2:8" ht="18" customHeight="1" x14ac:dyDescent="0.25">
      <c r="B90" s="40">
        <f>SUBTOTAL(3,C$4:C90)</f>
        <v>68</v>
      </c>
      <c r="C90" s="41">
        <v>24030219</v>
      </c>
      <c r="D90" s="41" t="s">
        <v>216</v>
      </c>
      <c r="E90" s="41" t="s">
        <v>29</v>
      </c>
      <c r="F90" s="41" t="s">
        <v>57</v>
      </c>
      <c r="G90" s="41" t="s">
        <v>26</v>
      </c>
      <c r="H90" s="42" t="s">
        <v>80</v>
      </c>
    </row>
    <row r="91" spans="2:8" ht="18" customHeight="1" x14ac:dyDescent="0.25">
      <c r="B91" s="40">
        <f>SUBTOTAL(3,C$4:C91)</f>
        <v>69</v>
      </c>
      <c r="C91" s="41">
        <v>24022446</v>
      </c>
      <c r="D91" s="41" t="s">
        <v>231</v>
      </c>
      <c r="E91" s="41" t="s">
        <v>29</v>
      </c>
      <c r="F91" s="41" t="s">
        <v>57</v>
      </c>
      <c r="G91" s="41" t="s">
        <v>26</v>
      </c>
      <c r="H91" s="42" t="s">
        <v>80</v>
      </c>
    </row>
    <row r="92" spans="2:8" ht="18" customHeight="1" x14ac:dyDescent="0.25">
      <c r="B92" s="40">
        <f>SUBTOTAL(3,C$4:C92)</f>
        <v>70</v>
      </c>
      <c r="C92" s="41">
        <v>24220092</v>
      </c>
      <c r="D92" s="41" t="s">
        <v>301</v>
      </c>
      <c r="E92" s="41" t="s">
        <v>29</v>
      </c>
      <c r="F92" s="41" t="s">
        <v>57</v>
      </c>
      <c r="G92" s="41" t="s">
        <v>26</v>
      </c>
      <c r="H92" s="42"/>
    </row>
    <row r="93" spans="2:8" ht="18" customHeight="1" x14ac:dyDescent="0.25">
      <c r="B93" s="40">
        <f>SUBTOTAL(3,C$4:C93)</f>
        <v>71</v>
      </c>
      <c r="C93" s="41">
        <v>24069954</v>
      </c>
      <c r="D93" s="41" t="s">
        <v>326</v>
      </c>
      <c r="E93" s="41" t="s">
        <v>29</v>
      </c>
      <c r="F93" s="41" t="s">
        <v>57</v>
      </c>
      <c r="G93" s="41" t="s">
        <v>26</v>
      </c>
      <c r="H93" s="42"/>
    </row>
    <row r="94" spans="2:8" ht="18" customHeight="1" x14ac:dyDescent="0.25">
      <c r="B94" s="40">
        <f>SUBTOTAL(3,C$4:C94)</f>
        <v>72</v>
      </c>
      <c r="C94" s="41">
        <v>24022515</v>
      </c>
      <c r="D94" s="41" t="s">
        <v>330</v>
      </c>
      <c r="E94" s="41" t="s">
        <v>29</v>
      </c>
      <c r="F94" s="41" t="s">
        <v>57</v>
      </c>
      <c r="G94" s="41" t="s">
        <v>26</v>
      </c>
      <c r="H94" s="42" t="s">
        <v>74</v>
      </c>
    </row>
    <row r="95" spans="2:8" ht="18" customHeight="1" x14ac:dyDescent="0.25">
      <c r="B95" s="40">
        <f>SUBTOTAL(3,C$4:C95)</f>
        <v>73</v>
      </c>
      <c r="C95" s="41">
        <v>24225139</v>
      </c>
      <c r="D95" s="41" t="s">
        <v>418</v>
      </c>
      <c r="E95" s="41" t="s">
        <v>29</v>
      </c>
      <c r="F95" s="41" t="s">
        <v>57</v>
      </c>
      <c r="G95" s="41" t="s">
        <v>26</v>
      </c>
      <c r="H95" s="42"/>
    </row>
    <row r="96" spans="2:8" ht="18" customHeight="1" x14ac:dyDescent="0.25">
      <c r="B96" s="40">
        <f>SUBTOTAL(3,C$4:C96)</f>
        <v>74</v>
      </c>
      <c r="C96" s="41">
        <v>24343072</v>
      </c>
      <c r="D96" s="41" t="s">
        <v>430</v>
      </c>
      <c r="E96" s="41" t="s">
        <v>29</v>
      </c>
      <c r="F96" s="41" t="s">
        <v>57</v>
      </c>
      <c r="G96" s="41" t="s">
        <v>28</v>
      </c>
      <c r="H96" s="42"/>
    </row>
    <row r="97" spans="2:8" ht="18" customHeight="1" x14ac:dyDescent="0.25">
      <c r="B97" s="40">
        <f>SUBTOTAL(3,C$4:C97)</f>
        <v>75</v>
      </c>
      <c r="C97" s="41">
        <v>24037108</v>
      </c>
      <c r="D97" s="41" t="s">
        <v>442</v>
      </c>
      <c r="E97" s="41" t="s">
        <v>29</v>
      </c>
      <c r="F97" s="41" t="s">
        <v>57</v>
      </c>
      <c r="G97" s="41" t="s">
        <v>26</v>
      </c>
      <c r="H97" s="42"/>
    </row>
    <row r="98" spans="2:8" ht="18" customHeight="1" x14ac:dyDescent="0.25">
      <c r="B98" s="40">
        <f>SUBTOTAL(3,C$4:C98)</f>
        <v>76</v>
      </c>
      <c r="C98" s="41">
        <v>24020927</v>
      </c>
      <c r="D98" s="41" t="s">
        <v>446</v>
      </c>
      <c r="E98" s="41" t="s">
        <v>29</v>
      </c>
      <c r="F98" s="41" t="s">
        <v>57</v>
      </c>
      <c r="G98" s="41" t="s">
        <v>26</v>
      </c>
      <c r="H98" s="42" t="s">
        <v>447</v>
      </c>
    </row>
    <row r="99" spans="2:8" ht="18" customHeight="1" x14ac:dyDescent="0.25">
      <c r="B99" s="40">
        <f>SUBTOTAL(3,C$4:C99)</f>
        <v>77</v>
      </c>
      <c r="C99" s="41">
        <v>24090103</v>
      </c>
      <c r="D99" s="41" t="s">
        <v>503</v>
      </c>
      <c r="E99" s="41" t="s">
        <v>29</v>
      </c>
      <c r="F99" s="41" t="s">
        <v>57</v>
      </c>
      <c r="G99" s="41" t="s">
        <v>28</v>
      </c>
      <c r="H99" s="42"/>
    </row>
    <row r="100" spans="2:8" ht="18" customHeight="1" x14ac:dyDescent="0.25">
      <c r="B100" s="40">
        <f>SUBTOTAL(3,C$4:C100)</f>
        <v>78</v>
      </c>
      <c r="C100" s="41">
        <v>24033213</v>
      </c>
      <c r="D100" s="41" t="s">
        <v>537</v>
      </c>
      <c r="E100" s="41" t="s">
        <v>29</v>
      </c>
      <c r="F100" s="41" t="s">
        <v>57</v>
      </c>
      <c r="G100" s="41" t="s">
        <v>26</v>
      </c>
      <c r="H100" s="42"/>
    </row>
    <row r="101" spans="2:8" ht="18" customHeight="1" x14ac:dyDescent="0.25">
      <c r="B101" s="40">
        <f>SUBTOTAL(3,C$4:C101)</f>
        <v>79</v>
      </c>
      <c r="C101" s="41">
        <v>24023552</v>
      </c>
      <c r="D101" s="41" t="s">
        <v>567</v>
      </c>
      <c r="E101" s="41" t="s">
        <v>29</v>
      </c>
      <c r="F101" s="41" t="s">
        <v>57</v>
      </c>
      <c r="G101" s="41" t="s">
        <v>26</v>
      </c>
      <c r="H101" s="42" t="s">
        <v>568</v>
      </c>
    </row>
    <row r="102" spans="2:8" ht="18" customHeight="1" x14ac:dyDescent="0.25">
      <c r="B102" s="40">
        <f>SUBTOTAL(3,C$4:C102)</f>
        <v>80</v>
      </c>
      <c r="C102" s="41">
        <v>24356674</v>
      </c>
      <c r="D102" s="41" t="s">
        <v>622</v>
      </c>
      <c r="E102" s="41" t="s">
        <v>29</v>
      </c>
      <c r="F102" s="41" t="s">
        <v>57</v>
      </c>
      <c r="G102" s="41" t="s">
        <v>28</v>
      </c>
      <c r="H102" s="42"/>
    </row>
    <row r="103" spans="2:8" ht="18" customHeight="1" x14ac:dyDescent="0.25">
      <c r="B103" s="40">
        <f>SUBTOTAL(3,C$4:C103)</f>
        <v>81</v>
      </c>
      <c r="C103" s="41">
        <v>24037311</v>
      </c>
      <c r="D103" s="41" t="s">
        <v>623</v>
      </c>
      <c r="E103" s="41" t="s">
        <v>29</v>
      </c>
      <c r="F103" s="41" t="s">
        <v>57</v>
      </c>
      <c r="G103" s="41" t="s">
        <v>26</v>
      </c>
      <c r="H103" s="42"/>
    </row>
    <row r="104" spans="2:8" ht="18" customHeight="1" x14ac:dyDescent="0.25">
      <c r="B104" s="40">
        <f>SUBTOTAL(3,C$4:C104)</f>
        <v>82</v>
      </c>
      <c r="C104" s="41">
        <v>24262218</v>
      </c>
      <c r="D104" s="41" t="s">
        <v>659</v>
      </c>
      <c r="E104" s="41" t="s">
        <v>29</v>
      </c>
      <c r="F104" s="41" t="s">
        <v>57</v>
      </c>
      <c r="G104" s="41" t="s">
        <v>26</v>
      </c>
      <c r="H104" s="42"/>
    </row>
    <row r="105" spans="2:8" ht="18" customHeight="1" x14ac:dyDescent="0.25">
      <c r="B105" s="40">
        <f>SUBTOTAL(3,C$4:C105)</f>
        <v>83</v>
      </c>
      <c r="C105" s="41">
        <v>24278595</v>
      </c>
      <c r="D105" s="41" t="s">
        <v>684</v>
      </c>
      <c r="E105" s="41" t="s">
        <v>29</v>
      </c>
      <c r="F105" s="41" t="s">
        <v>57</v>
      </c>
      <c r="G105" s="41" t="s">
        <v>28</v>
      </c>
      <c r="H105" s="42"/>
    </row>
    <row r="106" spans="2:8" ht="18" customHeight="1" x14ac:dyDescent="0.25">
      <c r="B106" s="40">
        <f>SUBTOTAL(3,C$4:C106)</f>
        <v>84</v>
      </c>
      <c r="C106" s="41">
        <v>24031244</v>
      </c>
      <c r="D106" s="41" t="s">
        <v>747</v>
      </c>
      <c r="E106" s="41" t="s">
        <v>29</v>
      </c>
      <c r="F106" s="41" t="s">
        <v>57</v>
      </c>
      <c r="G106" s="41" t="s">
        <v>26</v>
      </c>
      <c r="H106" s="42" t="s">
        <v>287</v>
      </c>
    </row>
    <row r="107" spans="2:8" ht="18" customHeight="1" x14ac:dyDescent="0.25">
      <c r="B107" s="40">
        <f>SUBTOTAL(3,C$4:C107)</f>
        <v>85</v>
      </c>
      <c r="C107" s="41">
        <v>24025400</v>
      </c>
      <c r="D107" s="41" t="s">
        <v>793</v>
      </c>
      <c r="E107" s="41" t="s">
        <v>29</v>
      </c>
      <c r="F107" s="41" t="s">
        <v>57</v>
      </c>
      <c r="G107" s="41" t="s">
        <v>26</v>
      </c>
      <c r="H107" s="42"/>
    </row>
    <row r="108" spans="2:8" ht="18" customHeight="1" x14ac:dyDescent="0.25">
      <c r="B108" s="40">
        <f>SUBTOTAL(3,C$4:C108)</f>
        <v>86</v>
      </c>
      <c r="C108" s="41">
        <v>24256010</v>
      </c>
      <c r="D108" s="41" t="s">
        <v>806</v>
      </c>
      <c r="E108" s="41" t="s">
        <v>29</v>
      </c>
      <c r="F108" s="41" t="s">
        <v>57</v>
      </c>
      <c r="G108" s="41" t="s">
        <v>28</v>
      </c>
      <c r="H108" s="42"/>
    </row>
    <row r="109" spans="2:8" ht="18" customHeight="1" x14ac:dyDescent="0.25">
      <c r="B109" s="40">
        <f>SUBTOTAL(3,C$4:C109)</f>
        <v>87</v>
      </c>
      <c r="C109" s="41">
        <v>24032579</v>
      </c>
      <c r="D109" s="41" t="s">
        <v>814</v>
      </c>
      <c r="E109" s="41" t="s">
        <v>29</v>
      </c>
      <c r="F109" s="41" t="s">
        <v>57</v>
      </c>
      <c r="G109" s="41" t="s">
        <v>26</v>
      </c>
      <c r="H109" s="42"/>
    </row>
    <row r="110" spans="2:8" ht="18" customHeight="1" x14ac:dyDescent="0.25">
      <c r="B110" s="40">
        <f>SUBTOTAL(3,C$4:C110)</f>
        <v>88</v>
      </c>
      <c r="C110" s="41">
        <v>24343012</v>
      </c>
      <c r="D110" s="41" t="s">
        <v>824</v>
      </c>
      <c r="E110" s="41" t="s">
        <v>29</v>
      </c>
      <c r="F110" s="41" t="s">
        <v>57</v>
      </c>
      <c r="G110" s="41" t="s">
        <v>28</v>
      </c>
      <c r="H110" s="42"/>
    </row>
    <row r="111" spans="2:8" ht="18" customHeight="1" x14ac:dyDescent="0.25">
      <c r="B111" s="40">
        <f>SUBTOTAL(3,C$4:C111)</f>
        <v>89</v>
      </c>
      <c r="C111" s="41">
        <v>24024370</v>
      </c>
      <c r="D111" s="41" t="s">
        <v>850</v>
      </c>
      <c r="E111" s="41" t="s">
        <v>29</v>
      </c>
      <c r="F111" s="41" t="s">
        <v>57</v>
      </c>
      <c r="G111" s="41" t="s">
        <v>26</v>
      </c>
      <c r="H111" s="42"/>
    </row>
    <row r="112" spans="2:8" ht="18" customHeight="1" x14ac:dyDescent="0.25">
      <c r="B112" s="40">
        <f>SUBTOTAL(3,C$4:C112)</f>
        <v>90</v>
      </c>
      <c r="C112" s="41">
        <v>24020868</v>
      </c>
      <c r="D112" s="41" t="s">
        <v>860</v>
      </c>
      <c r="E112" s="41" t="s">
        <v>29</v>
      </c>
      <c r="F112" s="41" t="s">
        <v>57</v>
      </c>
      <c r="G112" s="41" t="s">
        <v>26</v>
      </c>
      <c r="H112" s="42"/>
    </row>
    <row r="113" spans="2:8" ht="18" customHeight="1" x14ac:dyDescent="0.25">
      <c r="B113" s="40">
        <f>SUBTOTAL(3,C$4:C113)</f>
        <v>91</v>
      </c>
      <c r="C113" s="41">
        <v>24024974</v>
      </c>
      <c r="D113" s="41" t="s">
        <v>867</v>
      </c>
      <c r="E113" s="41" t="s">
        <v>29</v>
      </c>
      <c r="F113" s="41" t="s">
        <v>57</v>
      </c>
      <c r="G113" s="41" t="s">
        <v>26</v>
      </c>
      <c r="H113" s="42"/>
    </row>
    <row r="114" spans="2:8" ht="18" customHeight="1" x14ac:dyDescent="0.25">
      <c r="B114" s="40">
        <f>SUBTOTAL(3,C$4:C114)</f>
        <v>92</v>
      </c>
      <c r="C114" s="41">
        <v>24326837</v>
      </c>
      <c r="D114" s="41" t="s">
        <v>881</v>
      </c>
      <c r="E114" s="41" t="s">
        <v>29</v>
      </c>
      <c r="F114" s="41" t="s">
        <v>57</v>
      </c>
      <c r="G114" s="41" t="s">
        <v>28</v>
      </c>
      <c r="H114" s="42"/>
    </row>
    <row r="115" spans="2:8" ht="18" customHeight="1" x14ac:dyDescent="0.25">
      <c r="B115" s="40">
        <f>SUBTOTAL(3,C$4:C115)</f>
        <v>93</v>
      </c>
      <c r="C115" s="41">
        <v>24034226</v>
      </c>
      <c r="D115" s="41" t="s">
        <v>882</v>
      </c>
      <c r="E115" s="41" t="s">
        <v>29</v>
      </c>
      <c r="F115" s="41" t="s">
        <v>57</v>
      </c>
      <c r="G115" s="41" t="s">
        <v>26</v>
      </c>
      <c r="H115" s="42" t="s">
        <v>80</v>
      </c>
    </row>
    <row r="116" spans="2:8" ht="18" customHeight="1" x14ac:dyDescent="0.25">
      <c r="B116" s="40">
        <f>SUBTOTAL(3,C$4:C116)</f>
        <v>94</v>
      </c>
      <c r="C116" s="41">
        <v>24331497</v>
      </c>
      <c r="D116" s="41" t="s">
        <v>43</v>
      </c>
      <c r="E116" s="41" t="s">
        <v>29</v>
      </c>
      <c r="F116" s="41" t="s">
        <v>44</v>
      </c>
      <c r="G116" s="41" t="s">
        <v>26</v>
      </c>
      <c r="H116" s="42"/>
    </row>
    <row r="117" spans="2:8" ht="18" customHeight="1" x14ac:dyDescent="0.25">
      <c r="B117" s="40">
        <f>SUBTOTAL(3,C$4:C117)</f>
        <v>95</v>
      </c>
      <c r="C117" s="41">
        <v>24275046</v>
      </c>
      <c r="D117" s="41" t="s">
        <v>81</v>
      </c>
      <c r="E117" s="41" t="s">
        <v>29</v>
      </c>
      <c r="F117" s="41" t="s">
        <v>44</v>
      </c>
      <c r="G117" s="41" t="s">
        <v>26</v>
      </c>
      <c r="H117" s="42"/>
    </row>
    <row r="118" spans="2:8" ht="18" customHeight="1" x14ac:dyDescent="0.25">
      <c r="B118" s="40">
        <f>SUBTOTAL(3,C$4:C118)</f>
        <v>96</v>
      </c>
      <c r="C118" s="41">
        <v>24088520</v>
      </c>
      <c r="D118" s="41" t="s">
        <v>83</v>
      </c>
      <c r="E118" s="41" t="s">
        <v>29</v>
      </c>
      <c r="F118" s="41" t="s">
        <v>44</v>
      </c>
      <c r="G118" s="41" t="s">
        <v>28</v>
      </c>
      <c r="H118" s="42"/>
    </row>
    <row r="119" spans="2:8" ht="18" customHeight="1" x14ac:dyDescent="0.25">
      <c r="B119" s="40">
        <f>SUBTOTAL(3,C$4:C119)</f>
        <v>97</v>
      </c>
      <c r="C119" s="41">
        <v>24356623</v>
      </c>
      <c r="D119" s="41" t="s">
        <v>174</v>
      </c>
      <c r="E119" s="41" t="s">
        <v>29</v>
      </c>
      <c r="F119" s="41" t="s">
        <v>44</v>
      </c>
      <c r="G119" s="41" t="s">
        <v>28</v>
      </c>
      <c r="H119" s="42"/>
    </row>
    <row r="120" spans="2:8" ht="18" customHeight="1" x14ac:dyDescent="0.25">
      <c r="B120" s="40">
        <f>SUBTOTAL(3,C$4:C120)</f>
        <v>98</v>
      </c>
      <c r="C120" s="41">
        <v>24205937</v>
      </c>
      <c r="D120" s="41" t="s">
        <v>217</v>
      </c>
      <c r="E120" s="41" t="s">
        <v>29</v>
      </c>
      <c r="F120" s="41" t="s">
        <v>44</v>
      </c>
      <c r="G120" s="41" t="s">
        <v>26</v>
      </c>
      <c r="H120" s="42"/>
    </row>
    <row r="121" spans="2:8" ht="18" customHeight="1" x14ac:dyDescent="0.25">
      <c r="B121" s="40">
        <f>SUBTOTAL(3,C$4:C121)</f>
        <v>99</v>
      </c>
      <c r="C121" s="41">
        <v>24252447</v>
      </c>
      <c r="D121" s="41" t="s">
        <v>254</v>
      </c>
      <c r="E121" s="41" t="s">
        <v>29</v>
      </c>
      <c r="F121" s="41" t="s">
        <v>44</v>
      </c>
      <c r="G121" s="41" t="s">
        <v>28</v>
      </c>
      <c r="H121" s="42"/>
    </row>
    <row r="122" spans="2:8" ht="18" customHeight="1" x14ac:dyDescent="0.25">
      <c r="B122" s="40">
        <f>SUBTOTAL(3,C$4:C122)</f>
        <v>100</v>
      </c>
      <c r="C122" s="41">
        <v>24114131</v>
      </c>
      <c r="D122" s="41" t="s">
        <v>293</v>
      </c>
      <c r="E122" s="41" t="s">
        <v>29</v>
      </c>
      <c r="F122" s="41" t="s">
        <v>44</v>
      </c>
      <c r="G122" s="41" t="s">
        <v>28</v>
      </c>
      <c r="H122" s="42"/>
    </row>
    <row r="123" spans="2:8" ht="18" customHeight="1" x14ac:dyDescent="0.25">
      <c r="B123" s="40">
        <f>SUBTOTAL(3,C$4:C123)</f>
        <v>101</v>
      </c>
      <c r="C123" s="41">
        <v>24023227</v>
      </c>
      <c r="D123" s="41" t="s">
        <v>339</v>
      </c>
      <c r="E123" s="41" t="s">
        <v>29</v>
      </c>
      <c r="F123" s="41" t="s">
        <v>44</v>
      </c>
      <c r="G123" s="41" t="s">
        <v>26</v>
      </c>
      <c r="H123" s="42"/>
    </row>
    <row r="124" spans="2:8" ht="18" customHeight="1" x14ac:dyDescent="0.25">
      <c r="B124" s="40">
        <f>SUBTOTAL(3,C$4:C124)</f>
        <v>102</v>
      </c>
      <c r="C124" s="41">
        <v>24032232</v>
      </c>
      <c r="D124" s="41" t="s">
        <v>378</v>
      </c>
      <c r="E124" s="41" t="s">
        <v>29</v>
      </c>
      <c r="F124" s="41" t="s">
        <v>44</v>
      </c>
      <c r="G124" s="41" t="s">
        <v>26</v>
      </c>
      <c r="H124" s="42"/>
    </row>
    <row r="125" spans="2:8" ht="18" customHeight="1" x14ac:dyDescent="0.25">
      <c r="B125" s="40">
        <f>SUBTOTAL(3,C$4:C125)</f>
        <v>103</v>
      </c>
      <c r="C125" s="41">
        <v>24100755</v>
      </c>
      <c r="D125" s="41" t="s">
        <v>382</v>
      </c>
      <c r="E125" s="41" t="s">
        <v>29</v>
      </c>
      <c r="F125" s="41" t="s">
        <v>44</v>
      </c>
      <c r="G125" s="41" t="s">
        <v>28</v>
      </c>
      <c r="H125" s="42" t="s">
        <v>38</v>
      </c>
    </row>
    <row r="126" spans="2:8" ht="18" customHeight="1" x14ac:dyDescent="0.25">
      <c r="B126" s="40">
        <f>SUBTOTAL(3,C$4:C126)</f>
        <v>104</v>
      </c>
      <c r="C126" s="41">
        <v>24019643</v>
      </c>
      <c r="D126" s="41" t="s">
        <v>381</v>
      </c>
      <c r="E126" s="41" t="s">
        <v>29</v>
      </c>
      <c r="F126" s="41" t="s">
        <v>44</v>
      </c>
      <c r="G126" s="41" t="s">
        <v>26</v>
      </c>
      <c r="H126" s="42"/>
    </row>
    <row r="127" spans="2:8" ht="18" customHeight="1" x14ac:dyDescent="0.25">
      <c r="B127" s="40">
        <f>SUBTOTAL(3,C$4:C127)</f>
        <v>105</v>
      </c>
      <c r="C127" s="41">
        <v>24120350</v>
      </c>
      <c r="D127" s="41" t="s">
        <v>408</v>
      </c>
      <c r="E127" s="41" t="s">
        <v>29</v>
      </c>
      <c r="F127" s="41" t="s">
        <v>44</v>
      </c>
      <c r="G127" s="41" t="s">
        <v>26</v>
      </c>
      <c r="H127" s="42" t="s">
        <v>201</v>
      </c>
    </row>
    <row r="128" spans="2:8" ht="18" customHeight="1" x14ac:dyDescent="0.25">
      <c r="B128" s="40">
        <f>SUBTOTAL(3,C$4:C128)</f>
        <v>106</v>
      </c>
      <c r="C128" s="41">
        <v>24237172</v>
      </c>
      <c r="D128" s="41" t="s">
        <v>419</v>
      </c>
      <c r="E128" s="41" t="s">
        <v>29</v>
      </c>
      <c r="F128" s="41" t="s">
        <v>44</v>
      </c>
      <c r="G128" s="41" t="s">
        <v>26</v>
      </c>
      <c r="H128" s="42"/>
    </row>
    <row r="129" spans="2:8" ht="18" customHeight="1" x14ac:dyDescent="0.25">
      <c r="B129" s="40">
        <f>SUBTOTAL(3,C$4:C129)</f>
        <v>107</v>
      </c>
      <c r="C129" s="41">
        <v>24027537</v>
      </c>
      <c r="D129" s="41" t="s">
        <v>425</v>
      </c>
      <c r="E129" s="41" t="s">
        <v>29</v>
      </c>
      <c r="F129" s="41" t="s">
        <v>44</v>
      </c>
      <c r="G129" s="41" t="s">
        <v>26</v>
      </c>
      <c r="H129" s="42"/>
    </row>
    <row r="130" spans="2:8" ht="18" customHeight="1" x14ac:dyDescent="0.25">
      <c r="B130" s="40">
        <f>SUBTOTAL(3,C$4:C130)</f>
        <v>108</v>
      </c>
      <c r="C130" s="41">
        <v>24023599</v>
      </c>
      <c r="D130" s="41" t="s">
        <v>508</v>
      </c>
      <c r="E130" s="41" t="s">
        <v>29</v>
      </c>
      <c r="F130" s="41" t="s">
        <v>44</v>
      </c>
      <c r="G130" s="41" t="s">
        <v>26</v>
      </c>
      <c r="H130" s="42" t="s">
        <v>287</v>
      </c>
    </row>
    <row r="131" spans="2:8" ht="18" customHeight="1" x14ac:dyDescent="0.25">
      <c r="B131" s="40">
        <f>SUBTOTAL(3,C$4:C131)</f>
        <v>109</v>
      </c>
      <c r="C131" s="41">
        <v>24022727</v>
      </c>
      <c r="D131" s="41" t="s">
        <v>596</v>
      </c>
      <c r="E131" s="41" t="s">
        <v>29</v>
      </c>
      <c r="F131" s="41" t="s">
        <v>44</v>
      </c>
      <c r="G131" s="41" t="s">
        <v>26</v>
      </c>
      <c r="H131" s="42"/>
    </row>
    <row r="132" spans="2:8" ht="18" customHeight="1" x14ac:dyDescent="0.25">
      <c r="B132" s="40">
        <f>SUBTOTAL(3,C$4:C132)</f>
        <v>110</v>
      </c>
      <c r="C132" s="41">
        <v>24028946</v>
      </c>
      <c r="D132" s="41" t="s">
        <v>599</v>
      </c>
      <c r="E132" s="41" t="s">
        <v>29</v>
      </c>
      <c r="F132" s="41" t="s">
        <v>44</v>
      </c>
      <c r="G132" s="41" t="s">
        <v>26</v>
      </c>
      <c r="H132" s="42"/>
    </row>
    <row r="133" spans="2:8" ht="18" customHeight="1" x14ac:dyDescent="0.25">
      <c r="B133" s="40">
        <f>SUBTOTAL(3,C$4:C133)</f>
        <v>111</v>
      </c>
      <c r="C133" s="41">
        <v>24034853</v>
      </c>
      <c r="D133" s="41" t="s">
        <v>608</v>
      </c>
      <c r="E133" s="41" t="s">
        <v>29</v>
      </c>
      <c r="F133" s="41" t="s">
        <v>44</v>
      </c>
      <c r="G133" s="41" t="s">
        <v>26</v>
      </c>
      <c r="H133" s="42"/>
    </row>
    <row r="134" spans="2:8" ht="18" customHeight="1" x14ac:dyDescent="0.25">
      <c r="B134" s="40">
        <f>SUBTOTAL(3,C$4:C134)</f>
        <v>112</v>
      </c>
      <c r="C134" s="41">
        <v>24028389</v>
      </c>
      <c r="D134" s="41" t="s">
        <v>665</v>
      </c>
      <c r="E134" s="41" t="s">
        <v>29</v>
      </c>
      <c r="F134" s="41" t="s">
        <v>44</v>
      </c>
      <c r="G134" s="41" t="s">
        <v>26</v>
      </c>
      <c r="H134" s="42"/>
    </row>
    <row r="135" spans="2:8" ht="18" customHeight="1" x14ac:dyDescent="0.25">
      <c r="B135" s="40">
        <f>SUBTOTAL(3,C$4:C135)</f>
        <v>113</v>
      </c>
      <c r="C135" s="41">
        <v>24267914</v>
      </c>
      <c r="D135" s="41" t="s">
        <v>668</v>
      </c>
      <c r="E135" s="41" t="s">
        <v>29</v>
      </c>
      <c r="F135" s="41" t="s">
        <v>44</v>
      </c>
      <c r="G135" s="41" t="s">
        <v>26</v>
      </c>
      <c r="H135" s="42"/>
    </row>
    <row r="136" spans="2:8" ht="18" customHeight="1" x14ac:dyDescent="0.25">
      <c r="B136" s="40">
        <f>SUBTOTAL(3,C$4:C136)</f>
        <v>114</v>
      </c>
      <c r="C136" s="41">
        <v>24027151</v>
      </c>
      <c r="D136" s="41" t="s">
        <v>694</v>
      </c>
      <c r="E136" s="41" t="s">
        <v>29</v>
      </c>
      <c r="F136" s="41" t="s">
        <v>44</v>
      </c>
      <c r="G136" s="41" t="s">
        <v>26</v>
      </c>
      <c r="H136" s="42" t="s">
        <v>695</v>
      </c>
    </row>
    <row r="137" spans="2:8" ht="18" customHeight="1" x14ac:dyDescent="0.25">
      <c r="B137" s="40">
        <f>SUBTOTAL(3,C$4:C137)</f>
        <v>115</v>
      </c>
      <c r="C137" s="41">
        <v>24316454</v>
      </c>
      <c r="D137" s="41" t="s">
        <v>738</v>
      </c>
      <c r="E137" s="41" t="s">
        <v>29</v>
      </c>
      <c r="F137" s="41" t="s">
        <v>44</v>
      </c>
      <c r="G137" s="41" t="s">
        <v>26</v>
      </c>
      <c r="H137" s="42"/>
    </row>
    <row r="138" spans="2:8" ht="18" customHeight="1" x14ac:dyDescent="0.25">
      <c r="B138" s="40">
        <f>SUBTOTAL(3,C$4:C138)</f>
        <v>116</v>
      </c>
      <c r="C138" s="41">
        <v>24120596</v>
      </c>
      <c r="D138" s="41" t="s">
        <v>750</v>
      </c>
      <c r="E138" s="41" t="s">
        <v>29</v>
      </c>
      <c r="F138" s="41" t="s">
        <v>44</v>
      </c>
      <c r="G138" s="41" t="s">
        <v>26</v>
      </c>
      <c r="H138" s="42"/>
    </row>
    <row r="139" spans="2:8" ht="18" customHeight="1" x14ac:dyDescent="0.25">
      <c r="B139" s="40">
        <f>SUBTOTAL(3,C$4:C139)</f>
        <v>117</v>
      </c>
      <c r="C139" s="41">
        <v>24316900</v>
      </c>
      <c r="D139" s="41" t="s">
        <v>783</v>
      </c>
      <c r="E139" s="41" t="s">
        <v>29</v>
      </c>
      <c r="F139" s="41" t="s">
        <v>44</v>
      </c>
      <c r="G139" s="41" t="s">
        <v>26</v>
      </c>
      <c r="H139" s="42"/>
    </row>
    <row r="140" spans="2:8" ht="18" customHeight="1" x14ac:dyDescent="0.25">
      <c r="B140" s="40">
        <f>SUBTOTAL(3,C$4:C140)</f>
        <v>118</v>
      </c>
      <c r="C140" s="41">
        <v>24090307</v>
      </c>
      <c r="D140" s="41" t="s">
        <v>835</v>
      </c>
      <c r="E140" s="41" t="s">
        <v>29</v>
      </c>
      <c r="F140" s="41" t="s">
        <v>44</v>
      </c>
      <c r="G140" s="41" t="s">
        <v>28</v>
      </c>
      <c r="H140" s="42"/>
    </row>
    <row r="141" spans="2:8" ht="18" customHeight="1" x14ac:dyDescent="0.25">
      <c r="B141" s="40">
        <f>SUBTOTAL(3,C$4:C141)</f>
        <v>119</v>
      </c>
      <c r="C141" s="41">
        <v>24033277</v>
      </c>
      <c r="D141" s="41" t="s">
        <v>120</v>
      </c>
      <c r="E141" s="41" t="s">
        <v>29</v>
      </c>
      <c r="F141" s="41" t="s">
        <v>121</v>
      </c>
      <c r="G141" s="41" t="s">
        <v>24</v>
      </c>
      <c r="H141" s="42"/>
    </row>
    <row r="142" spans="2:8" ht="18" customHeight="1" x14ac:dyDescent="0.25">
      <c r="B142" s="40">
        <f>SUBTOTAL(3,C$4:C142)</f>
        <v>120</v>
      </c>
      <c r="C142" s="41">
        <v>24333521</v>
      </c>
      <c r="D142" s="41" t="s">
        <v>397</v>
      </c>
      <c r="E142" s="41" t="s">
        <v>29</v>
      </c>
      <c r="F142" s="41" t="s">
        <v>121</v>
      </c>
      <c r="G142" s="41" t="s">
        <v>26</v>
      </c>
      <c r="H142" s="42"/>
    </row>
    <row r="143" spans="2:8" ht="18" customHeight="1" x14ac:dyDescent="0.25">
      <c r="B143" s="40">
        <f>SUBTOTAL(3,C$4:C143)</f>
        <v>121</v>
      </c>
      <c r="C143" s="41">
        <v>24323951</v>
      </c>
      <c r="D143" s="41" t="s">
        <v>559</v>
      </c>
      <c r="E143" s="41" t="s">
        <v>29</v>
      </c>
      <c r="F143" s="41" t="s">
        <v>121</v>
      </c>
      <c r="G143" s="41" t="s">
        <v>26</v>
      </c>
      <c r="H143" s="42"/>
    </row>
    <row r="144" spans="2:8" ht="18" customHeight="1" x14ac:dyDescent="0.25">
      <c r="B144" s="40">
        <f>SUBTOTAL(3,C$4:C144)</f>
        <v>122</v>
      </c>
      <c r="C144" s="41">
        <v>24315999</v>
      </c>
      <c r="D144" s="41" t="s">
        <v>589</v>
      </c>
      <c r="E144" s="41" t="s">
        <v>29</v>
      </c>
      <c r="F144" s="41" t="s">
        <v>121</v>
      </c>
      <c r="G144" s="41" t="s">
        <v>28</v>
      </c>
      <c r="H144" s="42"/>
    </row>
    <row r="145" spans="2:8" ht="18" customHeight="1" x14ac:dyDescent="0.25">
      <c r="B145" s="40">
        <f>SUBTOTAL(3,C$4:C145)</f>
        <v>123</v>
      </c>
      <c r="C145" s="41">
        <v>24019631</v>
      </c>
      <c r="D145" s="41" t="s">
        <v>630</v>
      </c>
      <c r="E145" s="41" t="s">
        <v>29</v>
      </c>
      <c r="F145" s="41" t="s">
        <v>121</v>
      </c>
      <c r="G145" s="41" t="s">
        <v>26</v>
      </c>
      <c r="H145" s="42" t="s">
        <v>201</v>
      </c>
    </row>
    <row r="146" spans="2:8" ht="18" customHeight="1" x14ac:dyDescent="0.25">
      <c r="B146" s="40">
        <f>SUBTOTAL(3,C$4:C146)</f>
        <v>124</v>
      </c>
      <c r="C146" s="41">
        <v>24378360</v>
      </c>
      <c r="D146" s="41" t="s">
        <v>647</v>
      </c>
      <c r="E146" s="41" t="s">
        <v>29</v>
      </c>
      <c r="F146" s="41" t="s">
        <v>121</v>
      </c>
      <c r="G146" s="41" t="s">
        <v>28</v>
      </c>
      <c r="H146" s="42"/>
    </row>
    <row r="147" spans="2:8" ht="18" customHeight="1" x14ac:dyDescent="0.25">
      <c r="B147" s="40">
        <f>SUBTOTAL(3,C$4:C147)</f>
        <v>125</v>
      </c>
      <c r="C147" s="41">
        <v>24033068</v>
      </c>
      <c r="D147" s="41" t="s">
        <v>128</v>
      </c>
      <c r="E147" s="41" t="s">
        <v>29</v>
      </c>
      <c r="F147" s="41" t="s">
        <v>129</v>
      </c>
      <c r="G147" s="41" t="s">
        <v>24</v>
      </c>
      <c r="H147" s="42"/>
    </row>
    <row r="148" spans="2:8" ht="18" customHeight="1" x14ac:dyDescent="0.25">
      <c r="B148" s="40">
        <f>SUBTOTAL(3,C$4:C148)</f>
        <v>126</v>
      </c>
      <c r="C148" s="41">
        <v>24035718</v>
      </c>
      <c r="D148" s="41" t="s">
        <v>256</v>
      </c>
      <c r="E148" s="41" t="s">
        <v>29</v>
      </c>
      <c r="F148" s="41" t="s">
        <v>129</v>
      </c>
      <c r="G148" s="41" t="s">
        <v>24</v>
      </c>
      <c r="H148" s="42"/>
    </row>
    <row r="149" spans="2:8" ht="18" customHeight="1" x14ac:dyDescent="0.25">
      <c r="B149" s="40">
        <f>SUBTOTAL(3,C$4:C149)</f>
        <v>127</v>
      </c>
      <c r="C149" s="41">
        <v>24171503</v>
      </c>
      <c r="D149" s="41" t="s">
        <v>507</v>
      </c>
      <c r="E149" s="41" t="s">
        <v>29</v>
      </c>
      <c r="F149" s="41" t="s">
        <v>129</v>
      </c>
      <c r="G149" s="41" t="s">
        <v>24</v>
      </c>
      <c r="H149" s="42"/>
    </row>
    <row r="150" spans="2:8" ht="18" hidden="1" customHeight="1" x14ac:dyDescent="0.25">
      <c r="B150" s="40">
        <f>SUBTOTAL(3,C$4:C150)</f>
        <v>127</v>
      </c>
      <c r="C150" s="41">
        <v>24089235</v>
      </c>
      <c r="D150" s="41" t="s">
        <v>625</v>
      </c>
      <c r="E150" s="41" t="s">
        <v>29</v>
      </c>
      <c r="F150" s="41" t="s">
        <v>129</v>
      </c>
      <c r="G150" s="41" t="s">
        <v>27</v>
      </c>
      <c r="H150" s="42"/>
    </row>
    <row r="151" spans="2:8" ht="18" customHeight="1" x14ac:dyDescent="0.25">
      <c r="B151" s="40">
        <f>SUBTOTAL(3,C$4:C151)</f>
        <v>128</v>
      </c>
      <c r="C151" s="41">
        <v>24021669</v>
      </c>
      <c r="D151" s="41" t="s">
        <v>675</v>
      </c>
      <c r="E151" s="41" t="s">
        <v>29</v>
      </c>
      <c r="F151" s="41" t="s">
        <v>129</v>
      </c>
      <c r="G151" s="41" t="s">
        <v>26</v>
      </c>
      <c r="H151" s="42"/>
    </row>
    <row r="152" spans="2:8" ht="18" customHeight="1" x14ac:dyDescent="0.25">
      <c r="B152" s="40">
        <f>SUBTOTAL(3,C$4:C152)</f>
        <v>129</v>
      </c>
      <c r="C152" s="41">
        <v>24029049</v>
      </c>
      <c r="D152" s="41" t="s">
        <v>733</v>
      </c>
      <c r="E152" s="41" t="s">
        <v>29</v>
      </c>
      <c r="F152" s="41" t="s">
        <v>129</v>
      </c>
      <c r="G152" s="41" t="s">
        <v>24</v>
      </c>
      <c r="H152" s="42"/>
    </row>
    <row r="153" spans="2:8" ht="18" hidden="1" customHeight="1" x14ac:dyDescent="0.25">
      <c r="B153" s="40">
        <f>SUBTOTAL(3,C$4:C153)</f>
        <v>129</v>
      </c>
      <c r="C153" s="41">
        <v>24089511</v>
      </c>
      <c r="D153" s="41" t="s">
        <v>722</v>
      </c>
      <c r="E153" s="41" t="s">
        <v>29</v>
      </c>
      <c r="F153" s="41" t="s">
        <v>723</v>
      </c>
      <c r="G153" s="41" t="s">
        <v>27</v>
      </c>
      <c r="H153" s="42"/>
    </row>
    <row r="154" spans="2:8" ht="18" customHeight="1" x14ac:dyDescent="0.25">
      <c r="B154" s="40">
        <f>SUBTOTAL(3,C$4:C154)</f>
        <v>130</v>
      </c>
      <c r="C154" s="41">
        <v>24038056</v>
      </c>
      <c r="D154" s="41" t="s">
        <v>88</v>
      </c>
      <c r="E154" s="41" t="s">
        <v>29</v>
      </c>
      <c r="F154" s="41" t="s">
        <v>89</v>
      </c>
      <c r="G154" s="41" t="s">
        <v>26</v>
      </c>
      <c r="H154" s="42"/>
    </row>
    <row r="155" spans="2:8" ht="18" customHeight="1" x14ac:dyDescent="0.25">
      <c r="B155" s="40">
        <f>SUBTOTAL(3,C$4:C155)</f>
        <v>131</v>
      </c>
      <c r="C155" s="41">
        <v>24243459</v>
      </c>
      <c r="D155" s="41" t="s">
        <v>90</v>
      </c>
      <c r="E155" s="41" t="s">
        <v>29</v>
      </c>
      <c r="F155" s="41" t="s">
        <v>89</v>
      </c>
      <c r="G155" s="41" t="s">
        <v>26</v>
      </c>
      <c r="H155" s="42"/>
    </row>
    <row r="156" spans="2:8" ht="18" customHeight="1" x14ac:dyDescent="0.25">
      <c r="B156" s="40">
        <f>SUBTOTAL(3,C$4:C156)</f>
        <v>132</v>
      </c>
      <c r="C156" s="41">
        <v>24024103</v>
      </c>
      <c r="D156" s="41" t="s">
        <v>111</v>
      </c>
      <c r="E156" s="41" t="s">
        <v>29</v>
      </c>
      <c r="F156" s="41" t="s">
        <v>89</v>
      </c>
      <c r="G156" s="41" t="s">
        <v>26</v>
      </c>
      <c r="H156" s="42"/>
    </row>
    <row r="157" spans="2:8" ht="18" customHeight="1" x14ac:dyDescent="0.25">
      <c r="B157" s="40">
        <f>SUBTOTAL(3,C$4:C157)</f>
        <v>133</v>
      </c>
      <c r="C157" s="41">
        <v>24267966</v>
      </c>
      <c r="D157" s="41" t="s">
        <v>173</v>
      </c>
      <c r="E157" s="41" t="s">
        <v>29</v>
      </c>
      <c r="F157" s="41" t="s">
        <v>89</v>
      </c>
      <c r="G157" s="41" t="s">
        <v>26</v>
      </c>
      <c r="H157" s="42"/>
    </row>
    <row r="158" spans="2:8" ht="18" customHeight="1" x14ac:dyDescent="0.25">
      <c r="B158" s="40">
        <f>SUBTOTAL(3,C$4:C158)</f>
        <v>134</v>
      </c>
      <c r="C158" s="41">
        <v>24256110</v>
      </c>
      <c r="D158" s="41" t="s">
        <v>191</v>
      </c>
      <c r="E158" s="41" t="s">
        <v>29</v>
      </c>
      <c r="F158" s="41" t="s">
        <v>89</v>
      </c>
      <c r="G158" s="41" t="s">
        <v>26</v>
      </c>
      <c r="H158" s="42"/>
    </row>
    <row r="159" spans="2:8" ht="18" customHeight="1" x14ac:dyDescent="0.25">
      <c r="B159" s="40">
        <f>SUBTOTAL(3,C$4:C159)</f>
        <v>135</v>
      </c>
      <c r="C159" s="41">
        <v>24021882</v>
      </c>
      <c r="D159" s="41" t="s">
        <v>252</v>
      </c>
      <c r="E159" s="41" t="s">
        <v>29</v>
      </c>
      <c r="F159" s="41" t="s">
        <v>89</v>
      </c>
      <c r="G159" s="41" t="s">
        <v>26</v>
      </c>
      <c r="H159" s="42" t="s">
        <v>201</v>
      </c>
    </row>
    <row r="160" spans="2:8" ht="18" customHeight="1" x14ac:dyDescent="0.25">
      <c r="B160" s="40">
        <f>SUBTOTAL(3,C$4:C160)</f>
        <v>136</v>
      </c>
      <c r="C160" s="41">
        <v>24243560</v>
      </c>
      <c r="D160" s="41" t="s">
        <v>286</v>
      </c>
      <c r="E160" s="41" t="s">
        <v>29</v>
      </c>
      <c r="F160" s="41" t="s">
        <v>89</v>
      </c>
      <c r="G160" s="41" t="s">
        <v>26</v>
      </c>
      <c r="H160" s="42" t="s">
        <v>287</v>
      </c>
    </row>
    <row r="161" spans="2:8" ht="18" customHeight="1" x14ac:dyDescent="0.25">
      <c r="B161" s="40">
        <f>SUBTOTAL(3,C$4:C161)</f>
        <v>137</v>
      </c>
      <c r="C161" s="41">
        <v>24030135</v>
      </c>
      <c r="D161" s="41" t="s">
        <v>295</v>
      </c>
      <c r="E161" s="41" t="s">
        <v>29</v>
      </c>
      <c r="F161" s="41" t="s">
        <v>89</v>
      </c>
      <c r="G161" s="41" t="s">
        <v>26</v>
      </c>
      <c r="H161" s="42" t="s">
        <v>203</v>
      </c>
    </row>
    <row r="162" spans="2:8" ht="18" customHeight="1" x14ac:dyDescent="0.25">
      <c r="B162" s="40">
        <f>SUBTOTAL(3,C$4:C162)</f>
        <v>138</v>
      </c>
      <c r="C162" s="41">
        <v>24034654</v>
      </c>
      <c r="D162" s="41" t="s">
        <v>305</v>
      </c>
      <c r="E162" s="41" t="s">
        <v>29</v>
      </c>
      <c r="F162" s="41" t="s">
        <v>89</v>
      </c>
      <c r="G162" s="41" t="s">
        <v>26</v>
      </c>
      <c r="H162" s="42"/>
    </row>
    <row r="163" spans="2:8" ht="18" customHeight="1" x14ac:dyDescent="0.25">
      <c r="B163" s="40">
        <f>SUBTOTAL(3,C$4:C163)</f>
        <v>139</v>
      </c>
      <c r="C163" s="41">
        <v>24215481</v>
      </c>
      <c r="D163" s="41" t="s">
        <v>329</v>
      </c>
      <c r="E163" s="41" t="s">
        <v>29</v>
      </c>
      <c r="F163" s="41" t="s">
        <v>89</v>
      </c>
      <c r="G163" s="41" t="s">
        <v>26</v>
      </c>
      <c r="H163" s="42"/>
    </row>
    <row r="164" spans="2:8" ht="18" customHeight="1" x14ac:dyDescent="0.25">
      <c r="B164" s="40">
        <f>SUBTOTAL(3,C$4:C164)</f>
        <v>140</v>
      </c>
      <c r="C164" s="41">
        <v>24250675</v>
      </c>
      <c r="D164" s="41" t="s">
        <v>340</v>
      </c>
      <c r="E164" s="41" t="s">
        <v>29</v>
      </c>
      <c r="F164" s="41" t="s">
        <v>89</v>
      </c>
      <c r="G164" s="41" t="s">
        <v>26</v>
      </c>
      <c r="H164" s="42"/>
    </row>
    <row r="165" spans="2:8" ht="18" customHeight="1" x14ac:dyDescent="0.25">
      <c r="B165" s="40">
        <f>SUBTOTAL(3,C$4:C165)</f>
        <v>141</v>
      </c>
      <c r="C165" s="41">
        <v>24215372</v>
      </c>
      <c r="D165" s="41" t="s">
        <v>369</v>
      </c>
      <c r="E165" s="41" t="s">
        <v>29</v>
      </c>
      <c r="F165" s="41" t="s">
        <v>89</v>
      </c>
      <c r="G165" s="41" t="s">
        <v>26</v>
      </c>
      <c r="H165" s="42"/>
    </row>
    <row r="166" spans="2:8" ht="18" customHeight="1" x14ac:dyDescent="0.25">
      <c r="B166" s="40">
        <f>SUBTOTAL(3,C$4:C166)</f>
        <v>142</v>
      </c>
      <c r="C166" s="41">
        <v>24027660</v>
      </c>
      <c r="D166" s="41" t="s">
        <v>376</v>
      </c>
      <c r="E166" s="41" t="s">
        <v>29</v>
      </c>
      <c r="F166" s="41" t="s">
        <v>89</v>
      </c>
      <c r="G166" s="41" t="s">
        <v>26</v>
      </c>
      <c r="H166" s="42" t="s">
        <v>377</v>
      </c>
    </row>
    <row r="167" spans="2:8" ht="18" customHeight="1" x14ac:dyDescent="0.25">
      <c r="B167" s="40">
        <f>SUBTOTAL(3,C$4:C167)</f>
        <v>143</v>
      </c>
      <c r="C167" s="41">
        <v>24036580</v>
      </c>
      <c r="D167" s="41" t="s">
        <v>384</v>
      </c>
      <c r="E167" s="41" t="s">
        <v>29</v>
      </c>
      <c r="F167" s="41" t="s">
        <v>89</v>
      </c>
      <c r="G167" s="41" t="s">
        <v>26</v>
      </c>
      <c r="H167" s="42"/>
    </row>
    <row r="168" spans="2:8" ht="18" customHeight="1" x14ac:dyDescent="0.25">
      <c r="B168" s="40">
        <f>SUBTOTAL(3,C$4:C168)</f>
        <v>144</v>
      </c>
      <c r="C168" s="41">
        <v>24033990</v>
      </c>
      <c r="D168" s="41" t="s">
        <v>399</v>
      </c>
      <c r="E168" s="41" t="s">
        <v>29</v>
      </c>
      <c r="F168" s="41" t="s">
        <v>89</v>
      </c>
      <c r="G168" s="41" t="s">
        <v>26</v>
      </c>
      <c r="H168" s="42" t="s">
        <v>74</v>
      </c>
    </row>
    <row r="169" spans="2:8" ht="18" customHeight="1" x14ac:dyDescent="0.25">
      <c r="B169" s="40">
        <f>SUBTOTAL(3,C$4:C169)</f>
        <v>145</v>
      </c>
      <c r="C169" s="41">
        <v>24243775</v>
      </c>
      <c r="D169" s="41" t="s">
        <v>436</v>
      </c>
      <c r="E169" s="41" t="s">
        <v>29</v>
      </c>
      <c r="F169" s="41" t="s">
        <v>89</v>
      </c>
      <c r="G169" s="41" t="s">
        <v>26</v>
      </c>
      <c r="H169" s="42"/>
    </row>
    <row r="170" spans="2:8" ht="18" customHeight="1" x14ac:dyDescent="0.25">
      <c r="B170" s="40">
        <f>SUBTOTAL(3,C$4:C170)</f>
        <v>146</v>
      </c>
      <c r="C170" s="41">
        <v>24021005</v>
      </c>
      <c r="D170" s="41" t="s">
        <v>445</v>
      </c>
      <c r="E170" s="41" t="s">
        <v>29</v>
      </c>
      <c r="F170" s="41" t="s">
        <v>89</v>
      </c>
      <c r="G170" s="41" t="s">
        <v>26</v>
      </c>
      <c r="H170" s="42" t="s">
        <v>201</v>
      </c>
    </row>
    <row r="171" spans="2:8" ht="18" customHeight="1" x14ac:dyDescent="0.25">
      <c r="B171" s="40">
        <f>SUBTOTAL(3,C$4:C171)</f>
        <v>147</v>
      </c>
      <c r="C171" s="41">
        <v>24033757</v>
      </c>
      <c r="D171" s="41" t="s">
        <v>464</v>
      </c>
      <c r="E171" s="41" t="s">
        <v>29</v>
      </c>
      <c r="F171" s="41" t="s">
        <v>89</v>
      </c>
      <c r="G171" s="41" t="s">
        <v>26</v>
      </c>
      <c r="H171" s="42"/>
    </row>
    <row r="172" spans="2:8" ht="18" customHeight="1" x14ac:dyDescent="0.25">
      <c r="B172" s="40">
        <f>SUBTOTAL(3,C$4:C172)</f>
        <v>148</v>
      </c>
      <c r="C172" s="41">
        <v>24024607</v>
      </c>
      <c r="D172" s="41" t="s">
        <v>487</v>
      </c>
      <c r="E172" s="41" t="s">
        <v>29</v>
      </c>
      <c r="F172" s="41" t="s">
        <v>89</v>
      </c>
      <c r="G172" s="41" t="s">
        <v>26</v>
      </c>
      <c r="H172" s="42" t="s">
        <v>80</v>
      </c>
    </row>
    <row r="173" spans="2:8" ht="18" customHeight="1" x14ac:dyDescent="0.25">
      <c r="B173" s="40">
        <f>SUBTOTAL(3,C$4:C173)</f>
        <v>149</v>
      </c>
      <c r="C173" s="41">
        <v>24280422</v>
      </c>
      <c r="D173" s="41" t="s">
        <v>526</v>
      </c>
      <c r="E173" s="41" t="s">
        <v>29</v>
      </c>
      <c r="F173" s="41" t="s">
        <v>89</v>
      </c>
      <c r="G173" s="41" t="s">
        <v>26</v>
      </c>
      <c r="H173" s="42"/>
    </row>
    <row r="174" spans="2:8" ht="18" customHeight="1" x14ac:dyDescent="0.25">
      <c r="B174" s="40">
        <f>SUBTOTAL(3,C$4:C174)</f>
        <v>150</v>
      </c>
      <c r="C174" s="41">
        <v>24027135</v>
      </c>
      <c r="D174" s="41" t="s">
        <v>531</v>
      </c>
      <c r="E174" s="41" t="s">
        <v>29</v>
      </c>
      <c r="F174" s="41" t="s">
        <v>89</v>
      </c>
      <c r="G174" s="41" t="s">
        <v>26</v>
      </c>
      <c r="H174" s="42" t="s">
        <v>38</v>
      </c>
    </row>
    <row r="175" spans="2:8" ht="18" customHeight="1" x14ac:dyDescent="0.25">
      <c r="B175" s="40">
        <f>SUBTOTAL(3,C$4:C175)</f>
        <v>151</v>
      </c>
      <c r="C175" s="41">
        <v>24021717</v>
      </c>
      <c r="D175" s="41" t="s">
        <v>565</v>
      </c>
      <c r="E175" s="41" t="s">
        <v>29</v>
      </c>
      <c r="F175" s="41" t="s">
        <v>89</v>
      </c>
      <c r="G175" s="41" t="s">
        <v>26</v>
      </c>
      <c r="H175" s="42"/>
    </row>
    <row r="176" spans="2:8" ht="18" customHeight="1" x14ac:dyDescent="0.25">
      <c r="B176" s="40">
        <f>SUBTOTAL(3,C$4:C176)</f>
        <v>152</v>
      </c>
      <c r="C176" s="41">
        <v>24274596</v>
      </c>
      <c r="D176" s="41" t="s">
        <v>578</v>
      </c>
      <c r="E176" s="41" t="s">
        <v>29</v>
      </c>
      <c r="F176" s="41" t="s">
        <v>89</v>
      </c>
      <c r="G176" s="41" t="s">
        <v>26</v>
      </c>
      <c r="H176" s="42"/>
    </row>
    <row r="177" spans="2:8" ht="18" customHeight="1" x14ac:dyDescent="0.25">
      <c r="B177" s="40">
        <f>SUBTOTAL(3,C$4:C177)</f>
        <v>153</v>
      </c>
      <c r="C177" s="41">
        <v>24034819</v>
      </c>
      <c r="D177" s="41" t="s">
        <v>582</v>
      </c>
      <c r="E177" s="41" t="s">
        <v>29</v>
      </c>
      <c r="F177" s="41" t="s">
        <v>89</v>
      </c>
      <c r="G177" s="41" t="s">
        <v>26</v>
      </c>
      <c r="H177" s="42" t="s">
        <v>38</v>
      </c>
    </row>
    <row r="178" spans="2:8" ht="18" customHeight="1" x14ac:dyDescent="0.25">
      <c r="B178" s="40">
        <f>SUBTOTAL(3,C$4:C178)</f>
        <v>154</v>
      </c>
      <c r="C178" s="41">
        <v>24027172</v>
      </c>
      <c r="D178" s="41" t="s">
        <v>591</v>
      </c>
      <c r="E178" s="41" t="s">
        <v>29</v>
      </c>
      <c r="F178" s="41" t="s">
        <v>89</v>
      </c>
      <c r="G178" s="41" t="s">
        <v>26</v>
      </c>
      <c r="H178" s="42"/>
    </row>
    <row r="179" spans="2:8" ht="18" customHeight="1" x14ac:dyDescent="0.25">
      <c r="B179" s="40">
        <f>SUBTOTAL(3,C$4:C179)</f>
        <v>155</v>
      </c>
      <c r="C179" s="41">
        <v>24249737</v>
      </c>
      <c r="D179" s="41" t="s">
        <v>606</v>
      </c>
      <c r="E179" s="41" t="s">
        <v>29</v>
      </c>
      <c r="F179" s="41" t="s">
        <v>89</v>
      </c>
      <c r="G179" s="41" t="s">
        <v>26</v>
      </c>
      <c r="H179" s="42"/>
    </row>
    <row r="180" spans="2:8" ht="18" customHeight="1" x14ac:dyDescent="0.25">
      <c r="B180" s="40">
        <f>SUBTOTAL(3,C$4:C180)</f>
        <v>156</v>
      </c>
      <c r="C180" s="41">
        <v>24274552</v>
      </c>
      <c r="D180" s="41" t="s">
        <v>680</v>
      </c>
      <c r="E180" s="41" t="s">
        <v>29</v>
      </c>
      <c r="F180" s="41" t="s">
        <v>89</v>
      </c>
      <c r="G180" s="41" t="s">
        <v>26</v>
      </c>
      <c r="H180" s="42"/>
    </row>
    <row r="181" spans="2:8" ht="18" customHeight="1" x14ac:dyDescent="0.25">
      <c r="B181" s="40">
        <f>SUBTOTAL(3,C$4:C181)</f>
        <v>157</v>
      </c>
      <c r="C181" s="41">
        <v>24037726</v>
      </c>
      <c r="D181" s="41" t="s">
        <v>698</v>
      </c>
      <c r="E181" s="41" t="s">
        <v>29</v>
      </c>
      <c r="F181" s="41" t="s">
        <v>89</v>
      </c>
      <c r="G181" s="41" t="s">
        <v>26</v>
      </c>
      <c r="H181" s="42"/>
    </row>
    <row r="182" spans="2:8" ht="18" customHeight="1" x14ac:dyDescent="0.25">
      <c r="B182" s="40">
        <f>SUBTOTAL(3,C$4:C182)</f>
        <v>158</v>
      </c>
      <c r="C182" s="41">
        <v>24309427</v>
      </c>
      <c r="D182" s="41" t="s">
        <v>706</v>
      </c>
      <c r="E182" s="41" t="s">
        <v>29</v>
      </c>
      <c r="F182" s="41" t="s">
        <v>89</v>
      </c>
      <c r="G182" s="41" t="s">
        <v>26</v>
      </c>
      <c r="H182" s="42"/>
    </row>
    <row r="183" spans="2:8" ht="18" customHeight="1" x14ac:dyDescent="0.25">
      <c r="B183" s="40">
        <f>SUBTOTAL(3,C$4:C183)</f>
        <v>159</v>
      </c>
      <c r="C183" s="41">
        <v>24021709</v>
      </c>
      <c r="D183" s="41" t="s">
        <v>734</v>
      </c>
      <c r="E183" s="41" t="s">
        <v>29</v>
      </c>
      <c r="F183" s="41" t="s">
        <v>89</v>
      </c>
      <c r="G183" s="41" t="s">
        <v>26</v>
      </c>
      <c r="H183" s="42"/>
    </row>
    <row r="184" spans="2:8" ht="18" customHeight="1" x14ac:dyDescent="0.25">
      <c r="B184" s="40">
        <f>SUBTOTAL(3,C$4:C184)</f>
        <v>160</v>
      </c>
      <c r="C184" s="41">
        <v>24027749</v>
      </c>
      <c r="D184" s="41" t="s">
        <v>739</v>
      </c>
      <c r="E184" s="41" t="s">
        <v>29</v>
      </c>
      <c r="F184" s="41" t="s">
        <v>89</v>
      </c>
      <c r="G184" s="41" t="s">
        <v>26</v>
      </c>
      <c r="H184" s="42"/>
    </row>
    <row r="185" spans="2:8" ht="18" customHeight="1" x14ac:dyDescent="0.25">
      <c r="B185" s="40">
        <f>SUBTOTAL(3,C$4:C185)</f>
        <v>161</v>
      </c>
      <c r="C185" s="41">
        <v>24039730</v>
      </c>
      <c r="D185" s="41" t="s">
        <v>761</v>
      </c>
      <c r="E185" s="41" t="s">
        <v>29</v>
      </c>
      <c r="F185" s="41" t="s">
        <v>89</v>
      </c>
      <c r="G185" s="41" t="s">
        <v>26</v>
      </c>
      <c r="H185" s="42"/>
    </row>
    <row r="186" spans="2:8" ht="18" customHeight="1" x14ac:dyDescent="0.25">
      <c r="B186" s="40">
        <f>SUBTOTAL(3,C$4:C186)</f>
        <v>162</v>
      </c>
      <c r="C186" s="41">
        <v>24294517</v>
      </c>
      <c r="D186" s="41" t="s">
        <v>857</v>
      </c>
      <c r="E186" s="41" t="s">
        <v>29</v>
      </c>
      <c r="F186" s="41" t="s">
        <v>89</v>
      </c>
      <c r="G186" s="41" t="s">
        <v>26</v>
      </c>
      <c r="H186" s="42"/>
    </row>
    <row r="187" spans="2:8" ht="18" customHeight="1" x14ac:dyDescent="0.25">
      <c r="B187" s="40">
        <f>SUBTOTAL(3,C$4:C187)</f>
        <v>163</v>
      </c>
      <c r="C187" s="41">
        <v>24292018</v>
      </c>
      <c r="D187" s="41" t="s">
        <v>58</v>
      </c>
      <c r="E187" s="41" t="s">
        <v>29</v>
      </c>
      <c r="F187" s="41" t="s">
        <v>59</v>
      </c>
      <c r="G187" s="41" t="s">
        <v>28</v>
      </c>
      <c r="H187" s="42"/>
    </row>
    <row r="188" spans="2:8" ht="18" customHeight="1" x14ac:dyDescent="0.25">
      <c r="B188" s="40">
        <f>SUBTOTAL(3,C$4:C188)</f>
        <v>164</v>
      </c>
      <c r="C188" s="41">
        <v>24239683</v>
      </c>
      <c r="D188" s="41" t="s">
        <v>92</v>
      </c>
      <c r="E188" s="41" t="s">
        <v>29</v>
      </c>
      <c r="F188" s="41" t="s">
        <v>59</v>
      </c>
      <c r="G188" s="41" t="s">
        <v>28</v>
      </c>
      <c r="H188" s="42"/>
    </row>
    <row r="189" spans="2:8" ht="18" customHeight="1" x14ac:dyDescent="0.25">
      <c r="B189" s="40">
        <f>SUBTOTAL(3,C$4:C189)</f>
        <v>165</v>
      </c>
      <c r="C189" s="41">
        <v>24031758</v>
      </c>
      <c r="D189" s="41" t="s">
        <v>119</v>
      </c>
      <c r="E189" s="41" t="s">
        <v>29</v>
      </c>
      <c r="F189" s="41" t="s">
        <v>59</v>
      </c>
      <c r="G189" s="41" t="s">
        <v>26</v>
      </c>
      <c r="H189" s="42"/>
    </row>
    <row r="190" spans="2:8" ht="18" customHeight="1" x14ac:dyDescent="0.25">
      <c r="B190" s="40">
        <f>SUBTOTAL(3,C$4:C190)</f>
        <v>166</v>
      </c>
      <c r="C190" s="41">
        <v>24225873</v>
      </c>
      <c r="D190" s="41" t="s">
        <v>133</v>
      </c>
      <c r="E190" s="41" t="s">
        <v>29</v>
      </c>
      <c r="F190" s="41" t="s">
        <v>59</v>
      </c>
      <c r="G190" s="41" t="s">
        <v>26</v>
      </c>
      <c r="H190" s="42"/>
    </row>
    <row r="191" spans="2:8" ht="18" customHeight="1" x14ac:dyDescent="0.25">
      <c r="B191" s="40">
        <f>SUBTOTAL(3,C$4:C191)</f>
        <v>167</v>
      </c>
      <c r="C191" s="41">
        <v>24122013</v>
      </c>
      <c r="D191" s="41" t="s">
        <v>233</v>
      </c>
      <c r="E191" s="41" t="s">
        <v>29</v>
      </c>
      <c r="F191" s="41" t="s">
        <v>59</v>
      </c>
      <c r="G191" s="41" t="s">
        <v>26</v>
      </c>
      <c r="H191" s="42"/>
    </row>
    <row r="192" spans="2:8" ht="18" customHeight="1" x14ac:dyDescent="0.25">
      <c r="B192" s="40">
        <f>SUBTOTAL(3,C$4:C192)</f>
        <v>168</v>
      </c>
      <c r="C192" s="41">
        <v>24309767</v>
      </c>
      <c r="D192" s="41" t="s">
        <v>298</v>
      </c>
      <c r="E192" s="41" t="s">
        <v>29</v>
      </c>
      <c r="F192" s="41" t="s">
        <v>59</v>
      </c>
      <c r="G192" s="41" t="s">
        <v>28</v>
      </c>
      <c r="H192" s="42"/>
    </row>
    <row r="193" spans="2:8" ht="18" customHeight="1" x14ac:dyDescent="0.25">
      <c r="B193" s="40">
        <f>SUBTOTAL(3,C$4:C193)</f>
        <v>169</v>
      </c>
      <c r="C193" s="41">
        <v>24090291</v>
      </c>
      <c r="D193" s="41" t="s">
        <v>324</v>
      </c>
      <c r="E193" s="41" t="s">
        <v>29</v>
      </c>
      <c r="F193" s="41" t="s">
        <v>59</v>
      </c>
      <c r="G193" s="41" t="s">
        <v>28</v>
      </c>
      <c r="H193" s="42"/>
    </row>
    <row r="194" spans="2:8" ht="18" customHeight="1" x14ac:dyDescent="0.25">
      <c r="B194" s="40">
        <f>SUBTOTAL(3,C$4:C194)</f>
        <v>170</v>
      </c>
      <c r="C194" s="41">
        <v>24092127</v>
      </c>
      <c r="D194" s="41" t="s">
        <v>426</v>
      </c>
      <c r="E194" s="41" t="s">
        <v>29</v>
      </c>
      <c r="F194" s="41" t="s">
        <v>59</v>
      </c>
      <c r="G194" s="41" t="s">
        <v>28</v>
      </c>
      <c r="H194" s="42" t="s">
        <v>427</v>
      </c>
    </row>
    <row r="195" spans="2:8" ht="18" customHeight="1" x14ac:dyDescent="0.25">
      <c r="B195" s="40">
        <f>SUBTOTAL(3,C$4:C195)</f>
        <v>171</v>
      </c>
      <c r="C195" s="41">
        <v>24037546</v>
      </c>
      <c r="D195" s="41" t="s">
        <v>462</v>
      </c>
      <c r="E195" s="41" t="s">
        <v>29</v>
      </c>
      <c r="F195" s="41" t="s">
        <v>59</v>
      </c>
      <c r="G195" s="41" t="s">
        <v>26</v>
      </c>
      <c r="H195" s="42"/>
    </row>
    <row r="196" spans="2:8" ht="18" customHeight="1" x14ac:dyDescent="0.25">
      <c r="B196" s="40">
        <f>SUBTOTAL(3,C$4:C196)</f>
        <v>172</v>
      </c>
      <c r="C196" s="41">
        <v>24317291</v>
      </c>
      <c r="D196" s="41" t="s">
        <v>488</v>
      </c>
      <c r="E196" s="41" t="s">
        <v>29</v>
      </c>
      <c r="F196" s="41" t="s">
        <v>59</v>
      </c>
      <c r="G196" s="41" t="s">
        <v>26</v>
      </c>
      <c r="H196" s="42"/>
    </row>
    <row r="197" spans="2:8" ht="18" customHeight="1" x14ac:dyDescent="0.25">
      <c r="B197" s="40">
        <f>SUBTOTAL(3,C$4:C197)</f>
        <v>173</v>
      </c>
      <c r="C197" s="41">
        <v>24029171</v>
      </c>
      <c r="D197" s="41" t="s">
        <v>541</v>
      </c>
      <c r="E197" s="41" t="s">
        <v>29</v>
      </c>
      <c r="F197" s="41" t="s">
        <v>59</v>
      </c>
      <c r="G197" s="41" t="s">
        <v>26</v>
      </c>
      <c r="H197" s="42"/>
    </row>
    <row r="198" spans="2:8" ht="18" customHeight="1" x14ac:dyDescent="0.25">
      <c r="B198" s="40">
        <f>SUBTOTAL(3,C$4:C198)</f>
        <v>174</v>
      </c>
      <c r="C198" s="41">
        <v>24023461</v>
      </c>
      <c r="D198" s="41" t="s">
        <v>551</v>
      </c>
      <c r="E198" s="41" t="s">
        <v>29</v>
      </c>
      <c r="F198" s="41" t="s">
        <v>59</v>
      </c>
      <c r="G198" s="41" t="s">
        <v>26</v>
      </c>
      <c r="H198" s="42"/>
    </row>
    <row r="199" spans="2:8" ht="18" customHeight="1" x14ac:dyDescent="0.25">
      <c r="B199" s="40">
        <f>SUBTOTAL(3,C$4:C199)</f>
        <v>175</v>
      </c>
      <c r="C199" s="41">
        <v>24040150</v>
      </c>
      <c r="D199" s="41" t="s">
        <v>570</v>
      </c>
      <c r="E199" s="41" t="s">
        <v>29</v>
      </c>
      <c r="F199" s="41" t="s">
        <v>59</v>
      </c>
      <c r="G199" s="41" t="s">
        <v>26</v>
      </c>
      <c r="H199" s="42"/>
    </row>
    <row r="200" spans="2:8" ht="18" customHeight="1" x14ac:dyDescent="0.25">
      <c r="B200" s="40">
        <f>SUBTOTAL(3,C$4:C200)</f>
        <v>176</v>
      </c>
      <c r="C200" s="41">
        <v>24019353</v>
      </c>
      <c r="D200" s="41" t="s">
        <v>592</v>
      </c>
      <c r="E200" s="41" t="s">
        <v>29</v>
      </c>
      <c r="F200" s="41" t="s">
        <v>59</v>
      </c>
      <c r="G200" s="41" t="s">
        <v>26</v>
      </c>
      <c r="H200" s="42"/>
    </row>
    <row r="201" spans="2:8" ht="18" customHeight="1" x14ac:dyDescent="0.25">
      <c r="B201" s="40">
        <f>SUBTOTAL(3,C$4:C201)</f>
        <v>177</v>
      </c>
      <c r="C201" s="41">
        <v>24022862</v>
      </c>
      <c r="D201" s="41" t="s">
        <v>593</v>
      </c>
      <c r="E201" s="41" t="s">
        <v>29</v>
      </c>
      <c r="F201" s="41" t="s">
        <v>59</v>
      </c>
      <c r="G201" s="41" t="s">
        <v>26</v>
      </c>
      <c r="H201" s="42" t="s">
        <v>80</v>
      </c>
    </row>
    <row r="202" spans="2:8" ht="18" customHeight="1" x14ac:dyDescent="0.25">
      <c r="B202" s="40">
        <f>SUBTOTAL(3,C$4:C202)</f>
        <v>178</v>
      </c>
      <c r="C202" s="41">
        <v>24026892</v>
      </c>
      <c r="D202" s="41" t="s">
        <v>628</v>
      </c>
      <c r="E202" s="41" t="s">
        <v>29</v>
      </c>
      <c r="F202" s="41" t="s">
        <v>59</v>
      </c>
      <c r="G202" s="41" t="s">
        <v>26</v>
      </c>
      <c r="H202" s="42"/>
    </row>
    <row r="203" spans="2:8" ht="18" customHeight="1" x14ac:dyDescent="0.25">
      <c r="B203" s="40">
        <f>SUBTOTAL(3,C$4:C203)</f>
        <v>179</v>
      </c>
      <c r="C203" s="41">
        <v>24039683</v>
      </c>
      <c r="D203" s="41" t="s">
        <v>648</v>
      </c>
      <c r="E203" s="41" t="s">
        <v>29</v>
      </c>
      <c r="F203" s="41" t="s">
        <v>59</v>
      </c>
      <c r="G203" s="41" t="s">
        <v>26</v>
      </c>
      <c r="H203" s="42" t="s">
        <v>80</v>
      </c>
    </row>
    <row r="204" spans="2:8" ht="18" customHeight="1" x14ac:dyDescent="0.25">
      <c r="B204" s="40">
        <f>SUBTOTAL(3,C$4:C204)</f>
        <v>180</v>
      </c>
      <c r="C204" s="41">
        <v>24035889</v>
      </c>
      <c r="D204" s="41" t="s">
        <v>748</v>
      </c>
      <c r="E204" s="41" t="s">
        <v>29</v>
      </c>
      <c r="F204" s="41" t="s">
        <v>59</v>
      </c>
      <c r="G204" s="41" t="s">
        <v>26</v>
      </c>
      <c r="H204" s="42" t="s">
        <v>80</v>
      </c>
    </row>
    <row r="205" spans="2:8" ht="18" customHeight="1" x14ac:dyDescent="0.25">
      <c r="B205" s="40">
        <f>SUBTOTAL(3,C$4:C205)</f>
        <v>181</v>
      </c>
      <c r="C205" s="41">
        <v>24023309</v>
      </c>
      <c r="D205" s="41" t="s">
        <v>755</v>
      </c>
      <c r="E205" s="41" t="s">
        <v>29</v>
      </c>
      <c r="F205" s="41" t="s">
        <v>59</v>
      </c>
      <c r="G205" s="41" t="s">
        <v>26</v>
      </c>
      <c r="H205" s="42"/>
    </row>
    <row r="206" spans="2:8" ht="18" customHeight="1" x14ac:dyDescent="0.25">
      <c r="B206" s="40">
        <f>SUBTOTAL(3,C$4:C206)</f>
        <v>182</v>
      </c>
      <c r="C206" s="41">
        <v>24036503</v>
      </c>
      <c r="D206" s="41" t="s">
        <v>832</v>
      </c>
      <c r="E206" s="41" t="s">
        <v>29</v>
      </c>
      <c r="F206" s="41" t="s">
        <v>59</v>
      </c>
      <c r="G206" s="41" t="s">
        <v>26</v>
      </c>
      <c r="H206" s="42" t="s">
        <v>80</v>
      </c>
    </row>
    <row r="207" spans="2:8" ht="18" customHeight="1" x14ac:dyDescent="0.25">
      <c r="B207" s="40">
        <f>SUBTOTAL(3,C$4:C207)</f>
        <v>183</v>
      </c>
      <c r="C207" s="41">
        <v>24021777</v>
      </c>
      <c r="D207" s="41" t="s">
        <v>872</v>
      </c>
      <c r="E207" s="41" t="s">
        <v>29</v>
      </c>
      <c r="F207" s="41" t="s">
        <v>59</v>
      </c>
      <c r="G207" s="41" t="s">
        <v>26</v>
      </c>
      <c r="H207" s="42" t="s">
        <v>80</v>
      </c>
    </row>
    <row r="208" spans="2:8" ht="18" customHeight="1" x14ac:dyDescent="0.25">
      <c r="B208" s="40">
        <f>SUBTOTAL(3,C$4:C208)</f>
        <v>184</v>
      </c>
      <c r="C208" s="41">
        <v>24034664</v>
      </c>
      <c r="D208" s="41" t="s">
        <v>884</v>
      </c>
      <c r="E208" s="41" t="s">
        <v>29</v>
      </c>
      <c r="F208" s="41" t="s">
        <v>59</v>
      </c>
      <c r="G208" s="41" t="s">
        <v>26</v>
      </c>
      <c r="H208" s="42" t="s">
        <v>203</v>
      </c>
    </row>
    <row r="209" spans="2:8" ht="18" customHeight="1" x14ac:dyDescent="0.25">
      <c r="B209" s="40">
        <f>SUBTOTAL(3,C$4:C209)</f>
        <v>185</v>
      </c>
      <c r="C209" s="41">
        <v>24288300</v>
      </c>
      <c r="D209" s="41" t="s">
        <v>45</v>
      </c>
      <c r="E209" s="41" t="s">
        <v>29</v>
      </c>
      <c r="F209" s="41" t="s">
        <v>46</v>
      </c>
      <c r="G209" s="41" t="s">
        <v>26</v>
      </c>
      <c r="H209" s="42"/>
    </row>
    <row r="210" spans="2:8" ht="18" customHeight="1" x14ac:dyDescent="0.25">
      <c r="B210" s="40">
        <f>SUBTOTAL(3,C$4:C210)</f>
        <v>186</v>
      </c>
      <c r="C210" s="41">
        <v>24021884</v>
      </c>
      <c r="D210" s="41" t="s">
        <v>79</v>
      </c>
      <c r="E210" s="41" t="s">
        <v>29</v>
      </c>
      <c r="F210" s="41" t="s">
        <v>46</v>
      </c>
      <c r="G210" s="41" t="s">
        <v>26</v>
      </c>
      <c r="H210" s="42" t="s">
        <v>80</v>
      </c>
    </row>
    <row r="211" spans="2:8" ht="18" customHeight="1" x14ac:dyDescent="0.25">
      <c r="B211" s="40">
        <f>SUBTOTAL(3,C$4:C211)</f>
        <v>187</v>
      </c>
      <c r="C211" s="41">
        <v>24028156</v>
      </c>
      <c r="D211" s="41" t="s">
        <v>82</v>
      </c>
      <c r="E211" s="41" t="s">
        <v>29</v>
      </c>
      <c r="F211" s="41" t="s">
        <v>46</v>
      </c>
      <c r="G211" s="41" t="s">
        <v>26</v>
      </c>
      <c r="H211" s="42"/>
    </row>
    <row r="212" spans="2:8" ht="18" customHeight="1" x14ac:dyDescent="0.25">
      <c r="B212" s="40">
        <f>SUBTOTAL(3,C$4:C212)</f>
        <v>188</v>
      </c>
      <c r="C212" s="41">
        <v>24026609</v>
      </c>
      <c r="D212" s="41" t="s">
        <v>99</v>
      </c>
      <c r="E212" s="41" t="s">
        <v>29</v>
      </c>
      <c r="F212" s="41" t="s">
        <v>46</v>
      </c>
      <c r="G212" s="41" t="s">
        <v>26</v>
      </c>
      <c r="H212" s="42"/>
    </row>
    <row r="213" spans="2:8" ht="18" customHeight="1" x14ac:dyDescent="0.25">
      <c r="B213" s="40">
        <f>SUBTOTAL(3,C$4:C213)</f>
        <v>189</v>
      </c>
      <c r="C213" s="41">
        <v>24019950</v>
      </c>
      <c r="D213" s="41" t="s">
        <v>192</v>
      </c>
      <c r="E213" s="41" t="s">
        <v>29</v>
      </c>
      <c r="F213" s="41" t="s">
        <v>46</v>
      </c>
      <c r="G213" s="41" t="s">
        <v>26</v>
      </c>
      <c r="H213" s="42"/>
    </row>
    <row r="214" spans="2:8" ht="18" customHeight="1" x14ac:dyDescent="0.25">
      <c r="B214" s="40">
        <f>SUBTOTAL(3,C$4:C214)</f>
        <v>190</v>
      </c>
      <c r="C214" s="41">
        <v>24029969</v>
      </c>
      <c r="D214" s="41" t="s">
        <v>197</v>
      </c>
      <c r="E214" s="41" t="s">
        <v>29</v>
      </c>
      <c r="F214" s="41" t="s">
        <v>46</v>
      </c>
      <c r="G214" s="41" t="s">
        <v>26</v>
      </c>
      <c r="H214" s="42" t="s">
        <v>74</v>
      </c>
    </row>
    <row r="215" spans="2:8" ht="18" customHeight="1" x14ac:dyDescent="0.25">
      <c r="B215" s="40">
        <f>SUBTOTAL(3,C$4:C215)</f>
        <v>191</v>
      </c>
      <c r="C215" s="41">
        <v>24021504</v>
      </c>
      <c r="D215" s="41" t="s">
        <v>289</v>
      </c>
      <c r="E215" s="41" t="s">
        <v>29</v>
      </c>
      <c r="F215" s="41" t="s">
        <v>46</v>
      </c>
      <c r="G215" s="41" t="s">
        <v>26</v>
      </c>
      <c r="H215" s="42" t="s">
        <v>80</v>
      </c>
    </row>
    <row r="216" spans="2:8" ht="18" customHeight="1" x14ac:dyDescent="0.25">
      <c r="B216" s="40">
        <f>SUBTOTAL(3,C$4:C216)</f>
        <v>192</v>
      </c>
      <c r="C216" s="41">
        <v>24170945</v>
      </c>
      <c r="D216" s="41" t="s">
        <v>291</v>
      </c>
      <c r="E216" s="41" t="s">
        <v>29</v>
      </c>
      <c r="F216" s="41" t="s">
        <v>46</v>
      </c>
      <c r="G216" s="41" t="s">
        <v>26</v>
      </c>
      <c r="H216" s="42" t="s">
        <v>292</v>
      </c>
    </row>
    <row r="217" spans="2:8" ht="18" customHeight="1" x14ac:dyDescent="0.25">
      <c r="B217" s="40">
        <f>SUBTOTAL(3,C$4:C217)</f>
        <v>193</v>
      </c>
      <c r="C217" s="41">
        <v>24294184</v>
      </c>
      <c r="D217" s="41" t="s">
        <v>294</v>
      </c>
      <c r="E217" s="41" t="s">
        <v>29</v>
      </c>
      <c r="F217" s="41" t="s">
        <v>46</v>
      </c>
      <c r="G217" s="41" t="s">
        <v>26</v>
      </c>
      <c r="H217" s="42"/>
    </row>
    <row r="218" spans="2:8" ht="18" customHeight="1" x14ac:dyDescent="0.25">
      <c r="B218" s="40">
        <f>SUBTOTAL(3,C$4:C218)</f>
        <v>194</v>
      </c>
      <c r="C218" s="41">
        <v>24321031</v>
      </c>
      <c r="D218" s="41" t="s">
        <v>338</v>
      </c>
      <c r="E218" s="41" t="s">
        <v>29</v>
      </c>
      <c r="F218" s="41" t="s">
        <v>46</v>
      </c>
      <c r="G218" s="41" t="s">
        <v>28</v>
      </c>
      <c r="H218" s="42"/>
    </row>
    <row r="219" spans="2:8" ht="18" customHeight="1" x14ac:dyDescent="0.25">
      <c r="B219" s="40">
        <f>SUBTOTAL(3,C$4:C219)</f>
        <v>195</v>
      </c>
      <c r="C219" s="41">
        <v>24028753</v>
      </c>
      <c r="D219" s="41" t="s">
        <v>366</v>
      </c>
      <c r="E219" s="41" t="s">
        <v>29</v>
      </c>
      <c r="F219" s="41" t="s">
        <v>46</v>
      </c>
      <c r="G219" s="41" t="s">
        <v>26</v>
      </c>
      <c r="H219" s="42"/>
    </row>
    <row r="220" spans="2:8" ht="18" customHeight="1" x14ac:dyDescent="0.25">
      <c r="B220" s="40">
        <f>SUBTOTAL(3,C$4:C220)</f>
        <v>196</v>
      </c>
      <c r="C220" s="41">
        <v>24092121</v>
      </c>
      <c r="D220" s="41" t="s">
        <v>370</v>
      </c>
      <c r="E220" s="41" t="s">
        <v>29</v>
      </c>
      <c r="F220" s="41" t="s">
        <v>46</v>
      </c>
      <c r="G220" s="41" t="s">
        <v>28</v>
      </c>
      <c r="H220" s="42"/>
    </row>
    <row r="221" spans="2:8" ht="18" customHeight="1" x14ac:dyDescent="0.25">
      <c r="B221" s="40">
        <f>SUBTOTAL(3,C$4:C221)</f>
        <v>197</v>
      </c>
      <c r="C221" s="41">
        <v>24331684</v>
      </c>
      <c r="D221" s="41" t="s">
        <v>478</v>
      </c>
      <c r="E221" s="41" t="s">
        <v>29</v>
      </c>
      <c r="F221" s="41" t="s">
        <v>46</v>
      </c>
      <c r="G221" s="41" t="s">
        <v>26</v>
      </c>
      <c r="H221" s="42"/>
    </row>
    <row r="222" spans="2:8" ht="18" customHeight="1" x14ac:dyDescent="0.25">
      <c r="B222" s="40">
        <f>SUBTOTAL(3,C$4:C222)</f>
        <v>198</v>
      </c>
      <c r="C222" s="41">
        <v>24090721</v>
      </c>
      <c r="D222" s="41" t="s">
        <v>504</v>
      </c>
      <c r="E222" s="41" t="s">
        <v>29</v>
      </c>
      <c r="F222" s="41" t="s">
        <v>46</v>
      </c>
      <c r="G222" s="41" t="s">
        <v>28</v>
      </c>
      <c r="H222" s="42"/>
    </row>
    <row r="223" spans="2:8" ht="18" customHeight="1" x14ac:dyDescent="0.25">
      <c r="B223" s="40">
        <f>SUBTOTAL(3,C$4:C223)</f>
        <v>199</v>
      </c>
      <c r="C223" s="41">
        <v>24032590</v>
      </c>
      <c r="D223" s="41" t="s">
        <v>571</v>
      </c>
      <c r="E223" s="41" t="s">
        <v>29</v>
      </c>
      <c r="F223" s="41" t="s">
        <v>46</v>
      </c>
      <c r="G223" s="41" t="s">
        <v>26</v>
      </c>
      <c r="H223" s="42" t="s">
        <v>74</v>
      </c>
    </row>
    <row r="224" spans="2:8" ht="18" customHeight="1" x14ac:dyDescent="0.25">
      <c r="B224" s="40">
        <f>SUBTOTAL(3,C$4:C224)</f>
        <v>200</v>
      </c>
      <c r="C224" s="41">
        <v>24036633</v>
      </c>
      <c r="D224" s="41" t="s">
        <v>635</v>
      </c>
      <c r="E224" s="41" t="s">
        <v>29</v>
      </c>
      <c r="F224" s="41" t="s">
        <v>46</v>
      </c>
      <c r="G224" s="41" t="s">
        <v>26</v>
      </c>
      <c r="H224" s="42"/>
    </row>
    <row r="225" spans="2:8" ht="18" customHeight="1" x14ac:dyDescent="0.25">
      <c r="B225" s="40">
        <f>SUBTOTAL(3,C$4:C225)</f>
        <v>201</v>
      </c>
      <c r="C225" s="41">
        <v>24219022</v>
      </c>
      <c r="D225" s="41" t="s">
        <v>652</v>
      </c>
      <c r="E225" s="41" t="s">
        <v>29</v>
      </c>
      <c r="F225" s="41" t="s">
        <v>46</v>
      </c>
      <c r="G225" s="41" t="s">
        <v>28</v>
      </c>
      <c r="H225" s="42"/>
    </row>
    <row r="226" spans="2:8" ht="18" customHeight="1" x14ac:dyDescent="0.25">
      <c r="B226" s="40">
        <f>SUBTOTAL(3,C$4:C226)</f>
        <v>202</v>
      </c>
      <c r="C226" s="41">
        <v>24090121</v>
      </c>
      <c r="D226" s="41" t="s">
        <v>653</v>
      </c>
      <c r="E226" s="41" t="s">
        <v>29</v>
      </c>
      <c r="F226" s="41" t="s">
        <v>46</v>
      </c>
      <c r="G226" s="41" t="s">
        <v>28</v>
      </c>
      <c r="H226" s="42"/>
    </row>
    <row r="227" spans="2:8" ht="18" customHeight="1" x14ac:dyDescent="0.25">
      <c r="B227" s="40">
        <f>SUBTOTAL(3,C$4:C227)</f>
        <v>203</v>
      </c>
      <c r="C227" s="41">
        <v>24024765</v>
      </c>
      <c r="D227" s="41" t="s">
        <v>704</v>
      </c>
      <c r="E227" s="41" t="s">
        <v>29</v>
      </c>
      <c r="F227" s="41" t="s">
        <v>46</v>
      </c>
      <c r="G227" s="41" t="s">
        <v>26</v>
      </c>
      <c r="H227" s="42"/>
    </row>
    <row r="228" spans="2:8" ht="18" customHeight="1" x14ac:dyDescent="0.25">
      <c r="B228" s="40">
        <f>SUBTOTAL(3,C$4:C228)</f>
        <v>204</v>
      </c>
      <c r="C228" s="41">
        <v>24027893</v>
      </c>
      <c r="D228" s="41" t="s">
        <v>712</v>
      </c>
      <c r="E228" s="41" t="s">
        <v>29</v>
      </c>
      <c r="F228" s="41" t="s">
        <v>46</v>
      </c>
      <c r="G228" s="41" t="s">
        <v>26</v>
      </c>
      <c r="H228" s="42"/>
    </row>
    <row r="229" spans="2:8" ht="18" customHeight="1" x14ac:dyDescent="0.25">
      <c r="B229" s="40">
        <f>SUBTOTAL(3,C$4:C229)</f>
        <v>205</v>
      </c>
      <c r="C229" s="41">
        <v>24112548</v>
      </c>
      <c r="D229" s="41" t="s">
        <v>725</v>
      </c>
      <c r="E229" s="41" t="s">
        <v>29</v>
      </c>
      <c r="F229" s="41" t="s">
        <v>46</v>
      </c>
      <c r="G229" s="41" t="s">
        <v>28</v>
      </c>
      <c r="H229" s="42" t="s">
        <v>80</v>
      </c>
    </row>
    <row r="230" spans="2:8" ht="18" customHeight="1" x14ac:dyDescent="0.25">
      <c r="B230" s="40">
        <f>SUBTOTAL(3,C$4:C230)</f>
        <v>206</v>
      </c>
      <c r="C230" s="41">
        <v>24300995</v>
      </c>
      <c r="D230" s="41" t="s">
        <v>730</v>
      </c>
      <c r="E230" s="41" t="s">
        <v>29</v>
      </c>
      <c r="F230" s="41" t="s">
        <v>46</v>
      </c>
      <c r="G230" s="41" t="s">
        <v>28</v>
      </c>
      <c r="H230" s="42"/>
    </row>
    <row r="231" spans="2:8" ht="18" customHeight="1" x14ac:dyDescent="0.25">
      <c r="B231" s="40">
        <f>SUBTOTAL(3,C$4:C231)</f>
        <v>207</v>
      </c>
      <c r="C231" s="41">
        <v>24035015</v>
      </c>
      <c r="D231" s="41" t="s">
        <v>823</v>
      </c>
      <c r="E231" s="41" t="s">
        <v>29</v>
      </c>
      <c r="F231" s="41" t="s">
        <v>46</v>
      </c>
      <c r="G231" s="41" t="s">
        <v>26</v>
      </c>
      <c r="H231" s="42"/>
    </row>
    <row r="232" spans="2:8" ht="18" customHeight="1" x14ac:dyDescent="0.25">
      <c r="B232" s="40">
        <f>SUBTOTAL(3,C$4:C232)</f>
        <v>208</v>
      </c>
      <c r="C232" s="41">
        <v>24356668</v>
      </c>
      <c r="D232" s="41" t="s">
        <v>879</v>
      </c>
      <c r="E232" s="41" t="s">
        <v>29</v>
      </c>
      <c r="F232" s="41" t="s">
        <v>46</v>
      </c>
      <c r="G232" s="41" t="s">
        <v>28</v>
      </c>
      <c r="H232" s="42"/>
    </row>
    <row r="233" spans="2:8" ht="18" customHeight="1" x14ac:dyDescent="0.25">
      <c r="B233" s="40">
        <f>SUBTOTAL(3,C$4:C233)</f>
        <v>209</v>
      </c>
      <c r="C233" s="41">
        <v>24117767</v>
      </c>
      <c r="D233" s="41" t="s">
        <v>52</v>
      </c>
      <c r="E233" s="41" t="s">
        <v>29</v>
      </c>
      <c r="F233" s="41" t="s">
        <v>53</v>
      </c>
      <c r="G233" s="41" t="s">
        <v>28</v>
      </c>
      <c r="H233" s="42"/>
    </row>
    <row r="234" spans="2:8" ht="18" customHeight="1" x14ac:dyDescent="0.25">
      <c r="B234" s="40">
        <f>SUBTOTAL(3,C$4:C234)</f>
        <v>210</v>
      </c>
      <c r="C234" s="41">
        <v>24262334</v>
      </c>
      <c r="D234" s="41" t="s">
        <v>439</v>
      </c>
      <c r="E234" s="41" t="s">
        <v>29</v>
      </c>
      <c r="F234" s="41" t="s">
        <v>53</v>
      </c>
      <c r="G234" s="41" t="s">
        <v>26</v>
      </c>
      <c r="H234" s="42"/>
    </row>
    <row r="235" spans="2:8" ht="18" customHeight="1" x14ac:dyDescent="0.25">
      <c r="B235" s="40">
        <f>SUBTOTAL(3,C$4:C235)</f>
        <v>211</v>
      </c>
      <c r="C235" s="41">
        <v>24333530</v>
      </c>
      <c r="D235" s="41" t="s">
        <v>518</v>
      </c>
      <c r="E235" s="41" t="s">
        <v>29</v>
      </c>
      <c r="F235" s="41" t="s">
        <v>53</v>
      </c>
      <c r="G235" s="41" t="s">
        <v>26</v>
      </c>
      <c r="H235" s="42"/>
    </row>
    <row r="236" spans="2:8" ht="18" customHeight="1" x14ac:dyDescent="0.25">
      <c r="B236" s="40">
        <f>SUBTOTAL(3,C$4:C236)</f>
        <v>212</v>
      </c>
      <c r="C236" s="41">
        <v>24035691</v>
      </c>
      <c r="D236" s="41" t="s">
        <v>569</v>
      </c>
      <c r="E236" s="41" t="s">
        <v>29</v>
      </c>
      <c r="F236" s="41" t="s">
        <v>53</v>
      </c>
      <c r="G236" s="41" t="s">
        <v>26</v>
      </c>
      <c r="H236" s="42"/>
    </row>
    <row r="237" spans="2:8" ht="18" customHeight="1" x14ac:dyDescent="0.25">
      <c r="B237" s="40">
        <f>SUBTOTAL(3,C$4:C237)</f>
        <v>213</v>
      </c>
      <c r="C237" s="41">
        <v>24117379</v>
      </c>
      <c r="D237" s="41" t="s">
        <v>198</v>
      </c>
      <c r="E237" s="41" t="s">
        <v>29</v>
      </c>
      <c r="F237" s="41" t="s">
        <v>199</v>
      </c>
      <c r="G237" s="41" t="s">
        <v>28</v>
      </c>
      <c r="H237" s="42"/>
    </row>
    <row r="238" spans="2:8" ht="18" customHeight="1" x14ac:dyDescent="0.25">
      <c r="B238" s="40">
        <f>SUBTOTAL(3,C$4:C238)</f>
        <v>214</v>
      </c>
      <c r="C238" s="41">
        <v>24032916</v>
      </c>
      <c r="D238" s="41" t="s">
        <v>214</v>
      </c>
      <c r="E238" s="41" t="s">
        <v>29</v>
      </c>
      <c r="F238" s="41" t="s">
        <v>199</v>
      </c>
      <c r="G238" s="41" t="s">
        <v>26</v>
      </c>
      <c r="H238" s="42"/>
    </row>
    <row r="239" spans="2:8" ht="18" customHeight="1" x14ac:dyDescent="0.25">
      <c r="B239" s="40">
        <f>SUBTOTAL(3,C$4:C239)</f>
        <v>215</v>
      </c>
      <c r="C239" s="41">
        <v>24019866</v>
      </c>
      <c r="D239" s="41" t="s">
        <v>281</v>
      </c>
      <c r="E239" s="41" t="s">
        <v>29</v>
      </c>
      <c r="F239" s="41" t="s">
        <v>199</v>
      </c>
      <c r="G239" s="41" t="s">
        <v>24</v>
      </c>
      <c r="H239" s="42" t="s">
        <v>74</v>
      </c>
    </row>
    <row r="240" spans="2:8" ht="18" customHeight="1" x14ac:dyDescent="0.25">
      <c r="B240" s="40">
        <f>SUBTOTAL(3,C$4:C240)</f>
        <v>216</v>
      </c>
      <c r="C240" s="41">
        <v>24035457</v>
      </c>
      <c r="D240" s="41" t="s">
        <v>360</v>
      </c>
      <c r="E240" s="41" t="s">
        <v>29</v>
      </c>
      <c r="F240" s="41" t="s">
        <v>199</v>
      </c>
      <c r="G240" s="41" t="s">
        <v>26</v>
      </c>
      <c r="H240" s="42"/>
    </row>
    <row r="241" spans="2:8" ht="18" customHeight="1" x14ac:dyDescent="0.25">
      <c r="B241" s="40">
        <f>SUBTOTAL(3,C$4:C241)</f>
        <v>217</v>
      </c>
      <c r="C241" s="41">
        <v>24022275</v>
      </c>
      <c r="D241" s="41" t="s">
        <v>431</v>
      </c>
      <c r="E241" s="41" t="s">
        <v>29</v>
      </c>
      <c r="F241" s="41" t="s">
        <v>199</v>
      </c>
      <c r="G241" s="41" t="s">
        <v>24</v>
      </c>
      <c r="H241" s="42"/>
    </row>
    <row r="242" spans="2:8" ht="18" customHeight="1" x14ac:dyDescent="0.25">
      <c r="B242" s="40">
        <f>SUBTOTAL(3,C$4:C242)</f>
        <v>218</v>
      </c>
      <c r="C242" s="41">
        <v>24026944</v>
      </c>
      <c r="D242" s="41" t="s">
        <v>542</v>
      </c>
      <c r="E242" s="41" t="s">
        <v>29</v>
      </c>
      <c r="F242" s="41" t="s">
        <v>199</v>
      </c>
      <c r="G242" s="41" t="s">
        <v>24</v>
      </c>
      <c r="H242" s="42"/>
    </row>
    <row r="243" spans="2:8" ht="18" customHeight="1" x14ac:dyDescent="0.25">
      <c r="B243" s="40">
        <f>SUBTOTAL(3,C$4:C243)</f>
        <v>219</v>
      </c>
      <c r="C243" s="41">
        <v>24026068</v>
      </c>
      <c r="D243" s="41" t="s">
        <v>605</v>
      </c>
      <c r="E243" s="41" t="s">
        <v>29</v>
      </c>
      <c r="F243" s="41" t="s">
        <v>199</v>
      </c>
      <c r="G243" s="41" t="s">
        <v>26</v>
      </c>
      <c r="H243" s="42"/>
    </row>
    <row r="244" spans="2:8" ht="18" hidden="1" customHeight="1" x14ac:dyDescent="0.25">
      <c r="B244" s="40">
        <f>SUBTOTAL(3,C$4:C244)</f>
        <v>219</v>
      </c>
      <c r="C244" s="41">
        <v>24106795</v>
      </c>
      <c r="D244" s="41" t="s">
        <v>620</v>
      </c>
      <c r="E244" s="41" t="s">
        <v>29</v>
      </c>
      <c r="F244" s="41" t="s">
        <v>621</v>
      </c>
      <c r="G244" s="41" t="s">
        <v>27</v>
      </c>
      <c r="H244" s="42"/>
    </row>
    <row r="245" spans="2:8" ht="18" customHeight="1" x14ac:dyDescent="0.25">
      <c r="B245" s="40">
        <f>SUBTOTAL(3,C$4:C245)</f>
        <v>220</v>
      </c>
      <c r="C245" s="41">
        <v>24019738</v>
      </c>
      <c r="D245" s="41" t="s">
        <v>54</v>
      </c>
      <c r="E245" s="41" t="s">
        <v>29</v>
      </c>
      <c r="F245" s="41" t="s">
        <v>55</v>
      </c>
      <c r="G245" s="41" t="s">
        <v>26</v>
      </c>
      <c r="H245" s="42" t="s">
        <v>38</v>
      </c>
    </row>
    <row r="246" spans="2:8" ht="18" customHeight="1" x14ac:dyDescent="0.25">
      <c r="B246" s="40">
        <f>SUBTOTAL(3,C$4:C246)</f>
        <v>221</v>
      </c>
      <c r="C246" s="41">
        <v>24020271</v>
      </c>
      <c r="D246" s="41" t="s">
        <v>106</v>
      </c>
      <c r="E246" s="41" t="s">
        <v>29</v>
      </c>
      <c r="F246" s="41" t="s">
        <v>55</v>
      </c>
      <c r="G246" s="41" t="s">
        <v>26</v>
      </c>
      <c r="H246" s="42"/>
    </row>
    <row r="247" spans="2:8" ht="18" customHeight="1" x14ac:dyDescent="0.25">
      <c r="B247" s="40">
        <f>SUBTOTAL(3,C$4:C247)</f>
        <v>222</v>
      </c>
      <c r="C247" s="41">
        <v>24028181</v>
      </c>
      <c r="D247" s="41" t="s">
        <v>118</v>
      </c>
      <c r="E247" s="41" t="s">
        <v>29</v>
      </c>
      <c r="F247" s="41" t="s">
        <v>55</v>
      </c>
      <c r="G247" s="41" t="s">
        <v>26</v>
      </c>
      <c r="H247" s="42"/>
    </row>
    <row r="248" spans="2:8" ht="18" customHeight="1" x14ac:dyDescent="0.25">
      <c r="B248" s="40">
        <f>SUBTOTAL(3,C$4:C248)</f>
        <v>223</v>
      </c>
      <c r="C248" s="41">
        <v>24023944</v>
      </c>
      <c r="D248" s="41" t="s">
        <v>138</v>
      </c>
      <c r="E248" s="41" t="s">
        <v>29</v>
      </c>
      <c r="F248" s="41" t="s">
        <v>55</v>
      </c>
      <c r="G248" s="41" t="s">
        <v>26</v>
      </c>
      <c r="H248" s="42"/>
    </row>
    <row r="249" spans="2:8" ht="18" customHeight="1" x14ac:dyDescent="0.25">
      <c r="B249" s="40">
        <f>SUBTOTAL(3,C$4:C249)</f>
        <v>224</v>
      </c>
      <c r="C249" s="41">
        <v>24019199</v>
      </c>
      <c r="D249" s="41" t="s">
        <v>163</v>
      </c>
      <c r="E249" s="41" t="s">
        <v>29</v>
      </c>
      <c r="F249" s="41" t="s">
        <v>55</v>
      </c>
      <c r="G249" s="41" t="s">
        <v>26</v>
      </c>
      <c r="H249" s="42"/>
    </row>
    <row r="250" spans="2:8" ht="18" customHeight="1" x14ac:dyDescent="0.25">
      <c r="B250" s="40">
        <f>SUBTOTAL(3,C$4:C250)</f>
        <v>225</v>
      </c>
      <c r="C250" s="41">
        <v>24030661</v>
      </c>
      <c r="D250" s="41" t="s">
        <v>311</v>
      </c>
      <c r="E250" s="41" t="s">
        <v>29</v>
      </c>
      <c r="F250" s="41" t="s">
        <v>55</v>
      </c>
      <c r="G250" s="41" t="s">
        <v>26</v>
      </c>
      <c r="H250" s="42"/>
    </row>
    <row r="251" spans="2:8" ht="18" customHeight="1" x14ac:dyDescent="0.25">
      <c r="B251" s="40">
        <f>SUBTOTAL(3,C$4:C251)</f>
        <v>226</v>
      </c>
      <c r="C251" s="41">
        <v>24026704</v>
      </c>
      <c r="D251" s="41" t="s">
        <v>316</v>
      </c>
      <c r="E251" s="41" t="s">
        <v>29</v>
      </c>
      <c r="F251" s="41" t="s">
        <v>55</v>
      </c>
      <c r="G251" s="41" t="s">
        <v>26</v>
      </c>
      <c r="H251" s="42"/>
    </row>
    <row r="252" spans="2:8" ht="18" customHeight="1" x14ac:dyDescent="0.25">
      <c r="B252" s="40">
        <f>SUBTOTAL(3,C$4:C252)</f>
        <v>227</v>
      </c>
      <c r="C252" s="41">
        <v>24027711</v>
      </c>
      <c r="D252" s="41" t="s">
        <v>342</v>
      </c>
      <c r="E252" s="41" t="s">
        <v>29</v>
      </c>
      <c r="F252" s="41" t="s">
        <v>55</v>
      </c>
      <c r="G252" s="41" t="s">
        <v>26</v>
      </c>
      <c r="H252" s="42"/>
    </row>
    <row r="253" spans="2:8" ht="18" customHeight="1" x14ac:dyDescent="0.25">
      <c r="B253" s="40">
        <f>SUBTOTAL(3,C$4:C253)</f>
        <v>228</v>
      </c>
      <c r="C253" s="41">
        <v>24022533</v>
      </c>
      <c r="D253" s="41" t="s">
        <v>352</v>
      </c>
      <c r="E253" s="41" t="s">
        <v>29</v>
      </c>
      <c r="F253" s="41" t="s">
        <v>55</v>
      </c>
      <c r="G253" s="41" t="s">
        <v>26</v>
      </c>
      <c r="H253" s="42"/>
    </row>
    <row r="254" spans="2:8" ht="18" customHeight="1" x14ac:dyDescent="0.25">
      <c r="B254" s="40">
        <f>SUBTOTAL(3,C$4:C254)</f>
        <v>229</v>
      </c>
      <c r="C254" s="41">
        <v>24030254</v>
      </c>
      <c r="D254" s="41" t="s">
        <v>375</v>
      </c>
      <c r="E254" s="41" t="s">
        <v>29</v>
      </c>
      <c r="F254" s="41" t="s">
        <v>55</v>
      </c>
      <c r="G254" s="41" t="s">
        <v>26</v>
      </c>
      <c r="H254" s="42"/>
    </row>
    <row r="255" spans="2:8" ht="18" customHeight="1" x14ac:dyDescent="0.25">
      <c r="B255" s="40">
        <f>SUBTOTAL(3,C$4:C255)</f>
        <v>230</v>
      </c>
      <c r="C255" s="41">
        <v>24027944</v>
      </c>
      <c r="D255" s="41" t="s">
        <v>420</v>
      </c>
      <c r="E255" s="41" t="s">
        <v>29</v>
      </c>
      <c r="F255" s="41" t="s">
        <v>55</v>
      </c>
      <c r="G255" s="41" t="s">
        <v>26</v>
      </c>
      <c r="H255" s="42"/>
    </row>
    <row r="256" spans="2:8" ht="18" customHeight="1" x14ac:dyDescent="0.25">
      <c r="B256" s="40">
        <f>SUBTOTAL(3,C$4:C256)</f>
        <v>231</v>
      </c>
      <c r="C256" s="41">
        <v>24031926</v>
      </c>
      <c r="D256" s="41" t="s">
        <v>450</v>
      </c>
      <c r="E256" s="41" t="s">
        <v>29</v>
      </c>
      <c r="F256" s="41" t="s">
        <v>55</v>
      </c>
      <c r="G256" s="41" t="s">
        <v>26</v>
      </c>
      <c r="H256" s="42" t="s">
        <v>38</v>
      </c>
    </row>
    <row r="257" spans="2:8" ht="18" customHeight="1" x14ac:dyDescent="0.25">
      <c r="B257" s="40">
        <f>SUBTOTAL(3,C$4:C257)</f>
        <v>232</v>
      </c>
      <c r="C257" s="41">
        <v>24028528</v>
      </c>
      <c r="D257" s="41" t="s">
        <v>553</v>
      </c>
      <c r="E257" s="41" t="s">
        <v>29</v>
      </c>
      <c r="F257" s="41" t="s">
        <v>55</v>
      </c>
      <c r="G257" s="41" t="s">
        <v>26</v>
      </c>
      <c r="H257" s="42"/>
    </row>
    <row r="258" spans="2:8" ht="18" customHeight="1" x14ac:dyDescent="0.25">
      <c r="B258" s="40">
        <f>SUBTOTAL(3,C$4:C258)</f>
        <v>233</v>
      </c>
      <c r="C258" s="41">
        <v>24030810</v>
      </c>
      <c r="D258" s="41" t="s">
        <v>563</v>
      </c>
      <c r="E258" s="41" t="s">
        <v>29</v>
      </c>
      <c r="F258" s="41" t="s">
        <v>55</v>
      </c>
      <c r="G258" s="41" t="s">
        <v>26</v>
      </c>
      <c r="H258" s="42"/>
    </row>
    <row r="259" spans="2:8" ht="18" customHeight="1" x14ac:dyDescent="0.25">
      <c r="B259" s="40">
        <f>SUBTOTAL(3,C$4:C259)</f>
        <v>234</v>
      </c>
      <c r="C259" s="41">
        <v>24019967</v>
      </c>
      <c r="D259" s="41" t="s">
        <v>703</v>
      </c>
      <c r="E259" s="41" t="s">
        <v>29</v>
      </c>
      <c r="F259" s="41" t="s">
        <v>55</v>
      </c>
      <c r="G259" s="41" t="s">
        <v>26</v>
      </c>
      <c r="H259" s="42"/>
    </row>
    <row r="260" spans="2:8" ht="18" customHeight="1" x14ac:dyDescent="0.25">
      <c r="B260" s="40">
        <f>SUBTOTAL(3,C$4:C260)</f>
        <v>235</v>
      </c>
      <c r="C260" s="41">
        <v>24203551</v>
      </c>
      <c r="D260" s="41" t="s">
        <v>711</v>
      </c>
      <c r="E260" s="41" t="s">
        <v>29</v>
      </c>
      <c r="F260" s="41" t="s">
        <v>55</v>
      </c>
      <c r="G260" s="41" t="s">
        <v>26</v>
      </c>
      <c r="H260" s="42" t="s">
        <v>74</v>
      </c>
    </row>
    <row r="261" spans="2:8" ht="18" customHeight="1" x14ac:dyDescent="0.25">
      <c r="B261" s="40">
        <f>SUBTOTAL(3,C$4:C261)</f>
        <v>236</v>
      </c>
      <c r="C261" s="41">
        <v>24019777</v>
      </c>
      <c r="D261" s="41" t="s">
        <v>714</v>
      </c>
      <c r="E261" s="41" t="s">
        <v>29</v>
      </c>
      <c r="F261" s="41" t="s">
        <v>55</v>
      </c>
      <c r="G261" s="41" t="s">
        <v>26</v>
      </c>
      <c r="H261" s="42"/>
    </row>
    <row r="262" spans="2:8" ht="18" customHeight="1" x14ac:dyDescent="0.25">
      <c r="B262" s="40">
        <f>SUBTOTAL(3,C$4:C262)</f>
        <v>237</v>
      </c>
      <c r="C262" s="41">
        <v>24034345</v>
      </c>
      <c r="D262" s="41" t="s">
        <v>715</v>
      </c>
      <c r="E262" s="41" t="s">
        <v>29</v>
      </c>
      <c r="F262" s="41" t="s">
        <v>55</v>
      </c>
      <c r="G262" s="41" t="s">
        <v>26</v>
      </c>
      <c r="H262" s="42"/>
    </row>
    <row r="263" spans="2:8" ht="18" customHeight="1" x14ac:dyDescent="0.25">
      <c r="B263" s="40">
        <f>SUBTOTAL(3,C$4:C263)</f>
        <v>238</v>
      </c>
      <c r="C263" s="41">
        <v>24028572</v>
      </c>
      <c r="D263" s="41" t="s">
        <v>735</v>
      </c>
      <c r="E263" s="41" t="s">
        <v>29</v>
      </c>
      <c r="F263" s="41" t="s">
        <v>55</v>
      </c>
      <c r="G263" s="41" t="s">
        <v>26</v>
      </c>
      <c r="H263" s="42"/>
    </row>
    <row r="264" spans="2:8" ht="18" customHeight="1" x14ac:dyDescent="0.25">
      <c r="B264" s="40">
        <f>SUBTOTAL(3,C$4:C264)</f>
        <v>239</v>
      </c>
      <c r="C264" s="41">
        <v>24034314</v>
      </c>
      <c r="D264" s="41" t="s">
        <v>756</v>
      </c>
      <c r="E264" s="41" t="s">
        <v>29</v>
      </c>
      <c r="F264" s="41" t="s">
        <v>55</v>
      </c>
      <c r="G264" s="41" t="s">
        <v>26</v>
      </c>
      <c r="H264" s="42"/>
    </row>
    <row r="265" spans="2:8" ht="18" customHeight="1" x14ac:dyDescent="0.25">
      <c r="B265" s="40">
        <f>SUBTOTAL(3,C$4:C265)</f>
        <v>240</v>
      </c>
      <c r="C265" s="41">
        <v>24019401</v>
      </c>
      <c r="D265" s="41" t="s">
        <v>757</v>
      </c>
      <c r="E265" s="41" t="s">
        <v>29</v>
      </c>
      <c r="F265" s="41" t="s">
        <v>55</v>
      </c>
      <c r="G265" s="41" t="s">
        <v>26</v>
      </c>
      <c r="H265" s="42"/>
    </row>
    <row r="266" spans="2:8" ht="18" customHeight="1" x14ac:dyDescent="0.25">
      <c r="B266" s="40">
        <f>SUBTOTAL(3,C$4:C266)</f>
        <v>241</v>
      </c>
      <c r="C266" s="41">
        <v>24027879</v>
      </c>
      <c r="D266" s="41" t="s">
        <v>759</v>
      </c>
      <c r="E266" s="41" t="s">
        <v>29</v>
      </c>
      <c r="F266" s="41" t="s">
        <v>55</v>
      </c>
      <c r="G266" s="41" t="s">
        <v>26</v>
      </c>
      <c r="H266" s="42"/>
    </row>
    <row r="267" spans="2:8" ht="18" customHeight="1" x14ac:dyDescent="0.25">
      <c r="B267" s="40">
        <f>SUBTOTAL(3,C$4:C267)</f>
        <v>242</v>
      </c>
      <c r="C267" s="41">
        <v>24020528</v>
      </c>
      <c r="D267" s="41" t="s">
        <v>781</v>
      </c>
      <c r="E267" s="41" t="s">
        <v>29</v>
      </c>
      <c r="F267" s="41" t="s">
        <v>55</v>
      </c>
      <c r="G267" s="41" t="s">
        <v>26</v>
      </c>
      <c r="H267" s="42"/>
    </row>
    <row r="268" spans="2:8" ht="18" customHeight="1" x14ac:dyDescent="0.25">
      <c r="B268" s="40">
        <f>SUBTOTAL(3,C$4:C268)</f>
        <v>243</v>
      </c>
      <c r="C268" s="41">
        <v>24262418</v>
      </c>
      <c r="D268" s="41" t="s">
        <v>826</v>
      </c>
      <c r="E268" s="41" t="s">
        <v>29</v>
      </c>
      <c r="F268" s="41" t="s">
        <v>55</v>
      </c>
      <c r="G268" s="41" t="s">
        <v>26</v>
      </c>
      <c r="H268" s="42"/>
    </row>
    <row r="269" spans="2:8" ht="18" customHeight="1" x14ac:dyDescent="0.25">
      <c r="B269" s="40">
        <f>SUBTOTAL(3,C$4:C269)</f>
        <v>244</v>
      </c>
      <c r="C269" s="41">
        <v>24288741</v>
      </c>
      <c r="D269" s="41" t="s">
        <v>841</v>
      </c>
      <c r="E269" s="41" t="s">
        <v>29</v>
      </c>
      <c r="F269" s="41" t="s">
        <v>55</v>
      </c>
      <c r="G269" s="41" t="s">
        <v>26</v>
      </c>
      <c r="H269" s="42"/>
    </row>
    <row r="270" spans="2:8" ht="18" customHeight="1" x14ac:dyDescent="0.25">
      <c r="B270" s="40">
        <f>SUBTOTAL(3,C$4:C270)</f>
        <v>245</v>
      </c>
      <c r="C270" s="41">
        <v>24024377</v>
      </c>
      <c r="D270" s="41" t="s">
        <v>851</v>
      </c>
      <c r="E270" s="41" t="s">
        <v>29</v>
      </c>
      <c r="F270" s="41" t="s">
        <v>55</v>
      </c>
      <c r="G270" s="41" t="s">
        <v>26</v>
      </c>
      <c r="H270" s="42"/>
    </row>
    <row r="271" spans="2:8" ht="18" customHeight="1" x14ac:dyDescent="0.25">
      <c r="B271" s="40">
        <f>SUBTOTAL(3,C$4:C271)</f>
        <v>246</v>
      </c>
      <c r="C271" s="41">
        <v>24036765</v>
      </c>
      <c r="D271" s="41" t="s">
        <v>861</v>
      </c>
      <c r="E271" s="41" t="s">
        <v>29</v>
      </c>
      <c r="F271" s="41" t="s">
        <v>55</v>
      </c>
      <c r="G271" s="41" t="s">
        <v>26</v>
      </c>
      <c r="H271" s="42"/>
    </row>
    <row r="272" spans="2:8" ht="18" customHeight="1" x14ac:dyDescent="0.25">
      <c r="B272" s="40">
        <f>SUBTOTAL(3,C$4:C272)</f>
        <v>247</v>
      </c>
      <c r="C272" s="41">
        <v>24037397</v>
      </c>
      <c r="D272" s="41" t="s">
        <v>865</v>
      </c>
      <c r="E272" s="41" t="s">
        <v>29</v>
      </c>
      <c r="F272" s="41" t="s">
        <v>55</v>
      </c>
      <c r="G272" s="41" t="s">
        <v>26</v>
      </c>
      <c r="H272" s="42" t="s">
        <v>38</v>
      </c>
    </row>
    <row r="273" spans="2:8" ht="18" customHeight="1" x14ac:dyDescent="0.25">
      <c r="B273" s="40">
        <f>SUBTOTAL(3,C$4:C273)</f>
        <v>248</v>
      </c>
      <c r="C273" s="41">
        <v>24026524</v>
      </c>
      <c r="D273" s="41" t="s">
        <v>869</v>
      </c>
      <c r="E273" s="41" t="s">
        <v>29</v>
      </c>
      <c r="F273" s="41" t="s">
        <v>55</v>
      </c>
      <c r="G273" s="41" t="s">
        <v>26</v>
      </c>
      <c r="H273" s="42"/>
    </row>
    <row r="274" spans="2:8" ht="18" customHeight="1" x14ac:dyDescent="0.25">
      <c r="B274" s="40">
        <f>SUBTOTAL(3,C$4:C274)</f>
        <v>249</v>
      </c>
      <c r="C274" s="41">
        <v>24262439</v>
      </c>
      <c r="D274" s="41" t="s">
        <v>885</v>
      </c>
      <c r="E274" s="41" t="s">
        <v>29</v>
      </c>
      <c r="F274" s="41" t="s">
        <v>55</v>
      </c>
      <c r="G274" s="41" t="s">
        <v>26</v>
      </c>
      <c r="H274" s="42"/>
    </row>
    <row r="275" spans="2:8" ht="18" customHeight="1" x14ac:dyDescent="0.25">
      <c r="B275" s="40">
        <f>SUBTOTAL(3,C$4:C275)</f>
        <v>250</v>
      </c>
      <c r="C275" s="41">
        <v>24029283</v>
      </c>
      <c r="D275" s="41" t="s">
        <v>104</v>
      </c>
      <c r="E275" s="41" t="s">
        <v>29</v>
      </c>
      <c r="F275" s="41" t="s">
        <v>105</v>
      </c>
      <c r="G275" s="41" t="s">
        <v>26</v>
      </c>
      <c r="H275" s="42" t="s">
        <v>80</v>
      </c>
    </row>
    <row r="276" spans="2:8" ht="18" customHeight="1" x14ac:dyDescent="0.25">
      <c r="B276" s="40">
        <f>SUBTOTAL(3,C$4:C276)</f>
        <v>251</v>
      </c>
      <c r="C276" s="41">
        <v>24019739</v>
      </c>
      <c r="D276" s="41" t="s">
        <v>107</v>
      </c>
      <c r="E276" s="41" t="s">
        <v>29</v>
      </c>
      <c r="F276" s="41" t="s">
        <v>105</v>
      </c>
      <c r="G276" s="41" t="s">
        <v>26</v>
      </c>
      <c r="H276" s="42" t="s">
        <v>74</v>
      </c>
    </row>
    <row r="277" spans="2:8" ht="18" customHeight="1" x14ac:dyDescent="0.25">
      <c r="B277" s="40">
        <f>SUBTOTAL(3,C$4:C277)</f>
        <v>252</v>
      </c>
      <c r="C277" s="41">
        <v>24021988</v>
      </c>
      <c r="D277" s="41" t="s">
        <v>155</v>
      </c>
      <c r="E277" s="41" t="s">
        <v>29</v>
      </c>
      <c r="F277" s="41" t="s">
        <v>105</v>
      </c>
      <c r="G277" s="41" t="s">
        <v>26</v>
      </c>
      <c r="H277" s="42"/>
    </row>
    <row r="278" spans="2:8" ht="18" customHeight="1" x14ac:dyDescent="0.25">
      <c r="B278" s="40">
        <f>SUBTOTAL(3,C$4:C278)</f>
        <v>253</v>
      </c>
      <c r="C278" s="41">
        <v>24116430</v>
      </c>
      <c r="D278" s="41" t="s">
        <v>200</v>
      </c>
      <c r="E278" s="41" t="s">
        <v>29</v>
      </c>
      <c r="F278" s="41" t="s">
        <v>105</v>
      </c>
      <c r="G278" s="41" t="s">
        <v>28</v>
      </c>
      <c r="H278" s="42" t="s">
        <v>201</v>
      </c>
    </row>
    <row r="279" spans="2:8" ht="18" customHeight="1" x14ac:dyDescent="0.25">
      <c r="B279" s="40">
        <f>SUBTOTAL(3,C$4:C279)</f>
        <v>254</v>
      </c>
      <c r="C279" s="41">
        <v>24025402</v>
      </c>
      <c r="D279" s="41" t="s">
        <v>223</v>
      </c>
      <c r="E279" s="41" t="s">
        <v>29</v>
      </c>
      <c r="F279" s="41" t="s">
        <v>105</v>
      </c>
      <c r="G279" s="41" t="s">
        <v>26</v>
      </c>
      <c r="H279" s="42"/>
    </row>
    <row r="280" spans="2:8" ht="18" customHeight="1" x14ac:dyDescent="0.25">
      <c r="B280" s="40">
        <f>SUBTOTAL(3,C$4:C280)</f>
        <v>255</v>
      </c>
      <c r="C280" s="41">
        <v>24022022</v>
      </c>
      <c r="D280" s="41" t="s">
        <v>261</v>
      </c>
      <c r="E280" s="41" t="s">
        <v>29</v>
      </c>
      <c r="F280" s="41" t="s">
        <v>105</v>
      </c>
      <c r="G280" s="41" t="s">
        <v>26</v>
      </c>
      <c r="H280" s="42" t="s">
        <v>132</v>
      </c>
    </row>
    <row r="281" spans="2:8" ht="18" customHeight="1" x14ac:dyDescent="0.25">
      <c r="B281" s="40">
        <f>SUBTOTAL(3,C$4:C281)</f>
        <v>256</v>
      </c>
      <c r="C281" s="41">
        <v>24037191</v>
      </c>
      <c r="D281" s="41" t="s">
        <v>284</v>
      </c>
      <c r="E281" s="41" t="s">
        <v>29</v>
      </c>
      <c r="F281" s="41" t="s">
        <v>105</v>
      </c>
      <c r="G281" s="41" t="s">
        <v>26</v>
      </c>
      <c r="H281" s="42"/>
    </row>
    <row r="282" spans="2:8" ht="18" customHeight="1" x14ac:dyDescent="0.25">
      <c r="B282" s="40">
        <f>SUBTOTAL(3,C$4:C282)</f>
        <v>257</v>
      </c>
      <c r="C282" s="41">
        <v>24107871</v>
      </c>
      <c r="D282" s="41" t="s">
        <v>288</v>
      </c>
      <c r="E282" s="41" t="s">
        <v>29</v>
      </c>
      <c r="F282" s="41" t="s">
        <v>105</v>
      </c>
      <c r="G282" s="41" t="s">
        <v>28</v>
      </c>
      <c r="H282" s="42"/>
    </row>
    <row r="283" spans="2:8" ht="18" customHeight="1" x14ac:dyDescent="0.25">
      <c r="B283" s="40">
        <f>SUBTOTAL(3,C$4:C283)</f>
        <v>258</v>
      </c>
      <c r="C283" s="41">
        <v>24036478</v>
      </c>
      <c r="D283" s="41" t="s">
        <v>296</v>
      </c>
      <c r="E283" s="41" t="s">
        <v>29</v>
      </c>
      <c r="F283" s="41" t="s">
        <v>105</v>
      </c>
      <c r="G283" s="41" t="s">
        <v>26</v>
      </c>
      <c r="H283" s="42"/>
    </row>
    <row r="284" spans="2:8" ht="18" customHeight="1" x14ac:dyDescent="0.25">
      <c r="B284" s="40">
        <f>SUBTOTAL(3,C$4:C284)</f>
        <v>259</v>
      </c>
      <c r="C284" s="41">
        <v>24022500</v>
      </c>
      <c r="D284" s="41" t="s">
        <v>303</v>
      </c>
      <c r="E284" s="41" t="s">
        <v>29</v>
      </c>
      <c r="F284" s="41" t="s">
        <v>105</v>
      </c>
      <c r="G284" s="41" t="s">
        <v>26</v>
      </c>
      <c r="H284" s="42" t="s">
        <v>80</v>
      </c>
    </row>
    <row r="285" spans="2:8" ht="18" customHeight="1" x14ac:dyDescent="0.25">
      <c r="B285" s="40">
        <f>SUBTOTAL(3,C$4:C285)</f>
        <v>260</v>
      </c>
      <c r="C285" s="41">
        <v>24117550</v>
      </c>
      <c r="D285" s="41" t="s">
        <v>337</v>
      </c>
      <c r="E285" s="41" t="s">
        <v>29</v>
      </c>
      <c r="F285" s="41" t="s">
        <v>105</v>
      </c>
      <c r="G285" s="41" t="s">
        <v>28</v>
      </c>
      <c r="H285" s="42"/>
    </row>
    <row r="286" spans="2:8" ht="18" customHeight="1" x14ac:dyDescent="0.25">
      <c r="B286" s="40">
        <f>SUBTOTAL(3,C$4:C286)</f>
        <v>261</v>
      </c>
      <c r="C286" s="41">
        <v>24027823</v>
      </c>
      <c r="D286" s="41" t="s">
        <v>341</v>
      </c>
      <c r="E286" s="41" t="s">
        <v>29</v>
      </c>
      <c r="F286" s="41" t="s">
        <v>105</v>
      </c>
      <c r="G286" s="41" t="s">
        <v>26</v>
      </c>
      <c r="H286" s="42"/>
    </row>
    <row r="287" spans="2:8" ht="18" customHeight="1" x14ac:dyDescent="0.25">
      <c r="B287" s="40">
        <f>SUBTOTAL(3,C$4:C287)</f>
        <v>262</v>
      </c>
      <c r="C287" s="41">
        <v>24029320</v>
      </c>
      <c r="D287" s="41" t="s">
        <v>429</v>
      </c>
      <c r="E287" s="41" t="s">
        <v>29</v>
      </c>
      <c r="F287" s="41" t="s">
        <v>105</v>
      </c>
      <c r="G287" s="41" t="s">
        <v>26</v>
      </c>
      <c r="H287" s="42"/>
    </row>
    <row r="288" spans="2:8" ht="18" customHeight="1" x14ac:dyDescent="0.25">
      <c r="B288" s="40">
        <f>SUBTOTAL(3,C$4:C288)</f>
        <v>263</v>
      </c>
      <c r="C288" s="41">
        <v>24036177</v>
      </c>
      <c r="D288" s="41" t="s">
        <v>448</v>
      </c>
      <c r="E288" s="41" t="s">
        <v>29</v>
      </c>
      <c r="F288" s="41" t="s">
        <v>105</v>
      </c>
      <c r="G288" s="41" t="s">
        <v>26</v>
      </c>
      <c r="H288" s="42"/>
    </row>
    <row r="289" spans="2:8" ht="18" customHeight="1" x14ac:dyDescent="0.25">
      <c r="B289" s="40">
        <f>SUBTOTAL(3,C$4:C289)</f>
        <v>264</v>
      </c>
      <c r="C289" s="41">
        <v>24023441</v>
      </c>
      <c r="D289" s="41" t="s">
        <v>511</v>
      </c>
      <c r="E289" s="41" t="s">
        <v>29</v>
      </c>
      <c r="F289" s="41" t="s">
        <v>105</v>
      </c>
      <c r="G289" s="41" t="s">
        <v>26</v>
      </c>
      <c r="H289" s="42" t="s">
        <v>512</v>
      </c>
    </row>
    <row r="290" spans="2:8" ht="18" customHeight="1" x14ac:dyDescent="0.25">
      <c r="B290" s="40">
        <f>SUBTOTAL(3,C$4:C290)</f>
        <v>265</v>
      </c>
      <c r="C290" s="41">
        <v>24343069</v>
      </c>
      <c r="D290" s="41" t="s">
        <v>516</v>
      </c>
      <c r="E290" s="41" t="s">
        <v>29</v>
      </c>
      <c r="F290" s="41" t="s">
        <v>105</v>
      </c>
      <c r="G290" s="41" t="s">
        <v>28</v>
      </c>
      <c r="H290" s="42"/>
    </row>
    <row r="291" spans="2:8" ht="18" customHeight="1" x14ac:dyDescent="0.25">
      <c r="B291" s="40">
        <f>SUBTOTAL(3,C$4:C291)</f>
        <v>266</v>
      </c>
      <c r="C291" s="41">
        <v>24110410</v>
      </c>
      <c r="D291" s="41" t="s">
        <v>609</v>
      </c>
      <c r="E291" s="41" t="s">
        <v>29</v>
      </c>
      <c r="F291" s="41" t="s">
        <v>105</v>
      </c>
      <c r="G291" s="41" t="s">
        <v>28</v>
      </c>
      <c r="H291" s="42"/>
    </row>
    <row r="292" spans="2:8" ht="18" customHeight="1" x14ac:dyDescent="0.25">
      <c r="B292" s="40">
        <f>SUBTOTAL(3,C$4:C292)</f>
        <v>267</v>
      </c>
      <c r="C292" s="41">
        <v>24117547</v>
      </c>
      <c r="D292" s="41" t="s">
        <v>632</v>
      </c>
      <c r="E292" s="41" t="s">
        <v>29</v>
      </c>
      <c r="F292" s="41" t="s">
        <v>105</v>
      </c>
      <c r="G292" s="41" t="s">
        <v>28</v>
      </c>
      <c r="H292" s="42" t="s">
        <v>413</v>
      </c>
    </row>
    <row r="293" spans="2:8" ht="18" customHeight="1" x14ac:dyDescent="0.25">
      <c r="B293" s="40">
        <f>SUBTOTAL(3,C$4:C293)</f>
        <v>268</v>
      </c>
      <c r="C293" s="41">
        <v>24025266</v>
      </c>
      <c r="D293" s="41" t="s">
        <v>633</v>
      </c>
      <c r="E293" s="41" t="s">
        <v>29</v>
      </c>
      <c r="F293" s="41" t="s">
        <v>105</v>
      </c>
      <c r="G293" s="41" t="s">
        <v>26</v>
      </c>
      <c r="H293" s="42" t="s">
        <v>80</v>
      </c>
    </row>
    <row r="294" spans="2:8" ht="18" customHeight="1" x14ac:dyDescent="0.25">
      <c r="B294" s="40">
        <f>SUBTOTAL(3,C$4:C294)</f>
        <v>269</v>
      </c>
      <c r="C294" s="41">
        <v>24027892</v>
      </c>
      <c r="D294" s="41" t="s">
        <v>658</v>
      </c>
      <c r="E294" s="41" t="s">
        <v>29</v>
      </c>
      <c r="F294" s="41" t="s">
        <v>105</v>
      </c>
      <c r="G294" s="41" t="s">
        <v>24</v>
      </c>
      <c r="H294" s="42" t="s">
        <v>74</v>
      </c>
    </row>
    <row r="295" spans="2:8" ht="18" customHeight="1" x14ac:dyDescent="0.25">
      <c r="B295" s="40">
        <f>SUBTOTAL(3,C$4:C295)</f>
        <v>270</v>
      </c>
      <c r="C295" s="41">
        <v>24304160</v>
      </c>
      <c r="D295" s="41" t="s">
        <v>667</v>
      </c>
      <c r="E295" s="41" t="s">
        <v>29</v>
      </c>
      <c r="F295" s="41" t="s">
        <v>105</v>
      </c>
      <c r="G295" s="41" t="s">
        <v>26</v>
      </c>
      <c r="H295" s="42"/>
    </row>
    <row r="296" spans="2:8" ht="18" customHeight="1" x14ac:dyDescent="0.25">
      <c r="B296" s="40">
        <f>SUBTOTAL(3,C$4:C296)</f>
        <v>271</v>
      </c>
      <c r="C296" s="41">
        <v>24315914</v>
      </c>
      <c r="D296" s="41" t="s">
        <v>742</v>
      </c>
      <c r="E296" s="41" t="s">
        <v>29</v>
      </c>
      <c r="F296" s="41" t="s">
        <v>105</v>
      </c>
      <c r="G296" s="41" t="s">
        <v>28</v>
      </c>
      <c r="H296" s="42"/>
    </row>
    <row r="297" spans="2:8" ht="18" customHeight="1" x14ac:dyDescent="0.25">
      <c r="B297" s="40">
        <f>SUBTOTAL(3,C$4:C297)</f>
        <v>272</v>
      </c>
      <c r="C297" s="41">
        <v>24021514</v>
      </c>
      <c r="D297" s="41" t="s">
        <v>773</v>
      </c>
      <c r="E297" s="41" t="s">
        <v>29</v>
      </c>
      <c r="F297" s="41" t="s">
        <v>105</v>
      </c>
      <c r="G297" s="41" t="s">
        <v>26</v>
      </c>
      <c r="H297" s="42" t="s">
        <v>203</v>
      </c>
    </row>
    <row r="298" spans="2:8" ht="18" customHeight="1" x14ac:dyDescent="0.25">
      <c r="B298" s="40">
        <f>SUBTOTAL(3,C$4:C298)</f>
        <v>273</v>
      </c>
      <c r="C298" s="41">
        <v>24109363</v>
      </c>
      <c r="D298" s="41" t="s">
        <v>776</v>
      </c>
      <c r="E298" s="41" t="s">
        <v>29</v>
      </c>
      <c r="F298" s="41" t="s">
        <v>105</v>
      </c>
      <c r="G298" s="41" t="s">
        <v>28</v>
      </c>
      <c r="H298" s="42"/>
    </row>
    <row r="299" spans="2:8" ht="18" customHeight="1" x14ac:dyDescent="0.25">
      <c r="B299" s="40">
        <f>SUBTOTAL(3,C$4:C299)</f>
        <v>274</v>
      </c>
      <c r="C299" s="41">
        <v>24037741</v>
      </c>
      <c r="D299" s="41" t="s">
        <v>778</v>
      </c>
      <c r="E299" s="41" t="s">
        <v>29</v>
      </c>
      <c r="F299" s="41" t="s">
        <v>105</v>
      </c>
      <c r="G299" s="41" t="s">
        <v>26</v>
      </c>
      <c r="H299" s="42" t="s">
        <v>132</v>
      </c>
    </row>
    <row r="300" spans="2:8" ht="18" customHeight="1" x14ac:dyDescent="0.25">
      <c r="B300" s="40">
        <f>SUBTOTAL(3,C$4:C300)</f>
        <v>275</v>
      </c>
      <c r="C300" s="41">
        <v>24022382</v>
      </c>
      <c r="D300" s="41" t="s">
        <v>102</v>
      </c>
      <c r="E300" s="41" t="s">
        <v>29</v>
      </c>
      <c r="F300" s="41" t="s">
        <v>103</v>
      </c>
      <c r="G300" s="41" t="s">
        <v>26</v>
      </c>
      <c r="H300" s="42" t="s">
        <v>38</v>
      </c>
    </row>
    <row r="301" spans="2:8" ht="18" customHeight="1" x14ac:dyDescent="0.25">
      <c r="B301" s="40">
        <f>SUBTOTAL(3,C$4:C301)</f>
        <v>276</v>
      </c>
      <c r="C301" s="41">
        <v>24317148</v>
      </c>
      <c r="D301" s="41" t="s">
        <v>140</v>
      </c>
      <c r="E301" s="41" t="s">
        <v>29</v>
      </c>
      <c r="F301" s="41" t="s">
        <v>103</v>
      </c>
      <c r="G301" s="41" t="s">
        <v>26</v>
      </c>
      <c r="H301" s="42"/>
    </row>
    <row r="302" spans="2:8" ht="18" customHeight="1" x14ac:dyDescent="0.25">
      <c r="B302" s="40">
        <f>SUBTOTAL(3,C$4:C302)</f>
        <v>277</v>
      </c>
      <c r="C302" s="41">
        <v>24024946</v>
      </c>
      <c r="D302" s="41" t="s">
        <v>237</v>
      </c>
      <c r="E302" s="41" t="s">
        <v>29</v>
      </c>
      <c r="F302" s="41" t="s">
        <v>103</v>
      </c>
      <c r="G302" s="41" t="s">
        <v>24</v>
      </c>
      <c r="H302" s="42" t="s">
        <v>80</v>
      </c>
    </row>
    <row r="303" spans="2:8" ht="18" customHeight="1" x14ac:dyDescent="0.25">
      <c r="B303" s="40">
        <f>SUBTOTAL(3,C$4:C303)</f>
        <v>278</v>
      </c>
      <c r="C303" s="41">
        <v>24020601</v>
      </c>
      <c r="D303" s="41" t="s">
        <v>239</v>
      </c>
      <c r="E303" s="41" t="s">
        <v>29</v>
      </c>
      <c r="F303" s="41" t="s">
        <v>103</v>
      </c>
      <c r="G303" s="41" t="s">
        <v>26</v>
      </c>
      <c r="H303" s="42"/>
    </row>
    <row r="304" spans="2:8" ht="18" customHeight="1" x14ac:dyDescent="0.25">
      <c r="B304" s="40">
        <f>SUBTOTAL(3,C$4:C304)</f>
        <v>279</v>
      </c>
      <c r="C304" s="41">
        <v>24111510</v>
      </c>
      <c r="D304" s="41" t="s">
        <v>268</v>
      </c>
      <c r="E304" s="41" t="s">
        <v>29</v>
      </c>
      <c r="F304" s="41" t="s">
        <v>103</v>
      </c>
      <c r="G304" s="41" t="s">
        <v>28</v>
      </c>
      <c r="H304" s="42"/>
    </row>
    <row r="305" spans="2:8" ht="18" customHeight="1" x14ac:dyDescent="0.25">
      <c r="B305" s="40">
        <f>SUBTOTAL(3,C$4:C305)</f>
        <v>280</v>
      </c>
      <c r="C305" s="41">
        <v>24022300</v>
      </c>
      <c r="D305" s="41" t="s">
        <v>272</v>
      </c>
      <c r="E305" s="41" t="s">
        <v>29</v>
      </c>
      <c r="F305" s="41" t="s">
        <v>103</v>
      </c>
      <c r="G305" s="41" t="s">
        <v>26</v>
      </c>
      <c r="H305" s="42" t="s">
        <v>74</v>
      </c>
    </row>
    <row r="306" spans="2:8" ht="18" customHeight="1" x14ac:dyDescent="0.25">
      <c r="B306" s="40">
        <f>SUBTOTAL(3,C$4:C306)</f>
        <v>281</v>
      </c>
      <c r="C306" s="41">
        <v>24088946</v>
      </c>
      <c r="D306" s="41" t="s">
        <v>387</v>
      </c>
      <c r="E306" s="41" t="s">
        <v>29</v>
      </c>
      <c r="F306" s="41" t="s">
        <v>103</v>
      </c>
      <c r="G306" s="41" t="s">
        <v>28</v>
      </c>
      <c r="H306" s="42"/>
    </row>
    <row r="307" spans="2:8" ht="18" customHeight="1" x14ac:dyDescent="0.25">
      <c r="B307" s="40">
        <f>SUBTOTAL(3,C$4:C307)</f>
        <v>282</v>
      </c>
      <c r="C307" s="41">
        <v>24107793</v>
      </c>
      <c r="D307" s="41" t="s">
        <v>415</v>
      </c>
      <c r="E307" s="41" t="s">
        <v>29</v>
      </c>
      <c r="F307" s="41" t="s">
        <v>103</v>
      </c>
      <c r="G307" s="41" t="s">
        <v>28</v>
      </c>
      <c r="H307" s="42"/>
    </row>
    <row r="308" spans="2:8" ht="18" customHeight="1" x14ac:dyDescent="0.25">
      <c r="B308" s="40">
        <f>SUBTOTAL(3,C$4:C308)</f>
        <v>283</v>
      </c>
      <c r="C308" s="41">
        <v>24024538</v>
      </c>
      <c r="D308" s="41" t="s">
        <v>532</v>
      </c>
      <c r="E308" s="41" t="s">
        <v>29</v>
      </c>
      <c r="F308" s="41" t="s">
        <v>103</v>
      </c>
      <c r="G308" s="41" t="s">
        <v>26</v>
      </c>
      <c r="H308" s="42"/>
    </row>
    <row r="309" spans="2:8" ht="18" customHeight="1" x14ac:dyDescent="0.25">
      <c r="B309" s="40">
        <f>SUBTOTAL(3,C$4:C309)</f>
        <v>284</v>
      </c>
      <c r="C309" s="41">
        <v>24038777</v>
      </c>
      <c r="D309" s="41" t="s">
        <v>583</v>
      </c>
      <c r="E309" s="41" t="s">
        <v>29</v>
      </c>
      <c r="F309" s="41" t="s">
        <v>103</v>
      </c>
      <c r="G309" s="41" t="s">
        <v>26</v>
      </c>
      <c r="H309" s="42"/>
    </row>
    <row r="310" spans="2:8" ht="18" customHeight="1" x14ac:dyDescent="0.25">
      <c r="B310" s="40">
        <f>SUBTOTAL(3,C$4:C310)</f>
        <v>285</v>
      </c>
      <c r="C310" s="41">
        <v>24031885</v>
      </c>
      <c r="D310" s="41" t="s">
        <v>590</v>
      </c>
      <c r="E310" s="41" t="s">
        <v>29</v>
      </c>
      <c r="F310" s="41" t="s">
        <v>103</v>
      </c>
      <c r="G310" s="41" t="s">
        <v>26</v>
      </c>
      <c r="H310" s="42"/>
    </row>
    <row r="311" spans="2:8" ht="18" customHeight="1" x14ac:dyDescent="0.25">
      <c r="B311" s="40">
        <f>SUBTOTAL(3,C$4:C311)</f>
        <v>286</v>
      </c>
      <c r="C311" s="41">
        <v>24031012</v>
      </c>
      <c r="D311" s="41" t="s">
        <v>597</v>
      </c>
      <c r="E311" s="41" t="s">
        <v>29</v>
      </c>
      <c r="F311" s="41" t="s">
        <v>103</v>
      </c>
      <c r="G311" s="41" t="s">
        <v>26</v>
      </c>
      <c r="H311" s="42"/>
    </row>
    <row r="312" spans="2:8" ht="18" customHeight="1" x14ac:dyDescent="0.25">
      <c r="B312" s="40">
        <f>SUBTOTAL(3,C$4:C312)</f>
        <v>287</v>
      </c>
      <c r="C312" s="41">
        <v>24021424</v>
      </c>
      <c r="D312" s="41" t="s">
        <v>637</v>
      </c>
      <c r="E312" s="41" t="s">
        <v>29</v>
      </c>
      <c r="F312" s="41" t="s">
        <v>103</v>
      </c>
      <c r="G312" s="41" t="s">
        <v>26</v>
      </c>
      <c r="H312" s="42"/>
    </row>
    <row r="313" spans="2:8" ht="18" customHeight="1" x14ac:dyDescent="0.25">
      <c r="B313" s="40">
        <f>SUBTOTAL(3,C$4:C313)</f>
        <v>288</v>
      </c>
      <c r="C313" s="41">
        <v>24331513</v>
      </c>
      <c r="D313" s="41" t="s">
        <v>649</v>
      </c>
      <c r="E313" s="41" t="s">
        <v>29</v>
      </c>
      <c r="F313" s="41" t="s">
        <v>103</v>
      </c>
      <c r="G313" s="41" t="s">
        <v>26</v>
      </c>
      <c r="H313" s="42"/>
    </row>
    <row r="314" spans="2:8" ht="18" customHeight="1" x14ac:dyDescent="0.25">
      <c r="B314" s="40">
        <f>SUBTOTAL(3,C$4:C314)</f>
        <v>289</v>
      </c>
      <c r="C314" s="41">
        <v>24024768</v>
      </c>
      <c r="D314" s="41" t="s">
        <v>662</v>
      </c>
      <c r="E314" s="41" t="s">
        <v>29</v>
      </c>
      <c r="F314" s="41" t="s">
        <v>103</v>
      </c>
      <c r="G314" s="41" t="s">
        <v>28</v>
      </c>
      <c r="H314" s="42"/>
    </row>
    <row r="315" spans="2:8" ht="18" customHeight="1" x14ac:dyDescent="0.25">
      <c r="B315" s="40">
        <f>SUBTOTAL(3,C$4:C315)</f>
        <v>290</v>
      </c>
      <c r="C315" s="41">
        <v>24033083</v>
      </c>
      <c r="D315" s="41" t="s">
        <v>676</v>
      </c>
      <c r="E315" s="41" t="s">
        <v>29</v>
      </c>
      <c r="F315" s="41" t="s">
        <v>103</v>
      </c>
      <c r="G315" s="41" t="s">
        <v>26</v>
      </c>
      <c r="H315" s="42" t="s">
        <v>80</v>
      </c>
    </row>
    <row r="316" spans="2:8" ht="18" customHeight="1" x14ac:dyDescent="0.25">
      <c r="B316" s="40">
        <f>SUBTOTAL(3,C$4:C316)</f>
        <v>291</v>
      </c>
      <c r="C316" s="41">
        <v>24090127</v>
      </c>
      <c r="D316" s="41" t="s">
        <v>708</v>
      </c>
      <c r="E316" s="41" t="s">
        <v>29</v>
      </c>
      <c r="F316" s="41" t="s">
        <v>103</v>
      </c>
      <c r="G316" s="41" t="s">
        <v>28</v>
      </c>
      <c r="H316" s="42"/>
    </row>
    <row r="317" spans="2:8" ht="18" customHeight="1" x14ac:dyDescent="0.25">
      <c r="B317" s="40">
        <f>SUBTOTAL(3,C$4:C317)</f>
        <v>292</v>
      </c>
      <c r="C317" s="41">
        <v>24036370</v>
      </c>
      <c r="D317" s="41" t="s">
        <v>740</v>
      </c>
      <c r="E317" s="41" t="s">
        <v>29</v>
      </c>
      <c r="F317" s="41" t="s">
        <v>103</v>
      </c>
      <c r="G317" s="41" t="s">
        <v>26</v>
      </c>
      <c r="H317" s="42"/>
    </row>
    <row r="318" spans="2:8" ht="18" customHeight="1" x14ac:dyDescent="0.25">
      <c r="B318" s="40">
        <f>SUBTOTAL(3,C$4:C318)</f>
        <v>293</v>
      </c>
      <c r="C318" s="41">
        <v>24020941</v>
      </c>
      <c r="D318" s="41" t="s">
        <v>762</v>
      </c>
      <c r="E318" s="41" t="s">
        <v>29</v>
      </c>
      <c r="F318" s="41" t="s">
        <v>103</v>
      </c>
      <c r="G318" s="41" t="s">
        <v>26</v>
      </c>
      <c r="H318" s="42"/>
    </row>
    <row r="319" spans="2:8" ht="18" customHeight="1" x14ac:dyDescent="0.25">
      <c r="B319" s="40">
        <f>SUBTOTAL(3,C$4:C319)</f>
        <v>294</v>
      </c>
      <c r="C319" s="41">
        <v>24112712</v>
      </c>
      <c r="D319" s="41" t="s">
        <v>767</v>
      </c>
      <c r="E319" s="41" t="s">
        <v>29</v>
      </c>
      <c r="F319" s="41" t="s">
        <v>103</v>
      </c>
      <c r="G319" s="41" t="s">
        <v>28</v>
      </c>
      <c r="H319" s="42"/>
    </row>
    <row r="320" spans="2:8" ht="18" customHeight="1" x14ac:dyDescent="0.25">
      <c r="B320" s="40">
        <f>SUBTOTAL(3,C$4:C320)</f>
        <v>295</v>
      </c>
      <c r="C320" s="41">
        <v>24339857</v>
      </c>
      <c r="D320" s="41" t="s">
        <v>818</v>
      </c>
      <c r="E320" s="41" t="s">
        <v>29</v>
      </c>
      <c r="F320" s="41" t="s">
        <v>103</v>
      </c>
      <c r="G320" s="41" t="s">
        <v>26</v>
      </c>
      <c r="H320" s="42"/>
    </row>
    <row r="321" spans="2:8" ht="18" customHeight="1" x14ac:dyDescent="0.25">
      <c r="B321" s="40">
        <f>SUBTOTAL(3,C$4:C321)</f>
        <v>296</v>
      </c>
      <c r="C321" s="41">
        <v>24023543</v>
      </c>
      <c r="D321" s="41" t="s">
        <v>847</v>
      </c>
      <c r="E321" s="41" t="s">
        <v>29</v>
      </c>
      <c r="F321" s="41" t="s">
        <v>103</v>
      </c>
      <c r="G321" s="41" t="s">
        <v>26</v>
      </c>
      <c r="H321" s="42"/>
    </row>
    <row r="322" spans="2:8" ht="18" customHeight="1" x14ac:dyDescent="0.25">
      <c r="B322" s="40">
        <f>SUBTOTAL(3,C$4:C322)</f>
        <v>297</v>
      </c>
      <c r="C322" s="41">
        <v>24225856</v>
      </c>
      <c r="D322" s="41" t="s">
        <v>314</v>
      </c>
      <c r="E322" s="41" t="s">
        <v>29</v>
      </c>
      <c r="F322" s="41" t="s">
        <v>315</v>
      </c>
      <c r="G322" s="41" t="s">
        <v>26</v>
      </c>
      <c r="H322" s="42" t="s">
        <v>201</v>
      </c>
    </row>
    <row r="323" spans="2:8" ht="18" customHeight="1" x14ac:dyDescent="0.25">
      <c r="B323" s="40">
        <f>SUBTOTAL(3,C$4:C323)</f>
        <v>298</v>
      </c>
      <c r="C323" s="41">
        <v>24037904</v>
      </c>
      <c r="D323" s="41" t="s">
        <v>724</v>
      </c>
      <c r="E323" s="41" t="s">
        <v>29</v>
      </c>
      <c r="F323" s="41" t="s">
        <v>315</v>
      </c>
      <c r="G323" s="41" t="s">
        <v>24</v>
      </c>
      <c r="H323" s="42"/>
    </row>
    <row r="324" spans="2:8" ht="18" customHeight="1" x14ac:dyDescent="0.25">
      <c r="B324" s="40">
        <f>SUBTOTAL(3,C$4:C324)</f>
        <v>299</v>
      </c>
      <c r="C324" s="41">
        <v>24035785</v>
      </c>
      <c r="D324" s="41" t="s">
        <v>346</v>
      </c>
      <c r="E324" s="41" t="s">
        <v>29</v>
      </c>
      <c r="F324" s="41" t="s">
        <v>347</v>
      </c>
      <c r="G324" s="41" t="s">
        <v>24</v>
      </c>
      <c r="H324" s="42"/>
    </row>
    <row r="325" spans="2:8" ht="18" customHeight="1" x14ac:dyDescent="0.25">
      <c r="B325" s="40">
        <f>SUBTOTAL(3,C$4:C325)</f>
        <v>300</v>
      </c>
      <c r="C325" s="41">
        <v>24033203</v>
      </c>
      <c r="D325" s="41" t="s">
        <v>443</v>
      </c>
      <c r="E325" s="41" t="s">
        <v>29</v>
      </c>
      <c r="F325" s="41" t="s">
        <v>347</v>
      </c>
      <c r="G325" s="41" t="s">
        <v>24</v>
      </c>
      <c r="H325" s="42"/>
    </row>
    <row r="326" spans="2:8" ht="18" customHeight="1" x14ac:dyDescent="0.25">
      <c r="B326" s="40">
        <f>SUBTOTAL(3,C$4:C326)</f>
        <v>301</v>
      </c>
      <c r="C326" s="41">
        <v>24036941</v>
      </c>
      <c r="D326" s="41" t="s">
        <v>477</v>
      </c>
      <c r="E326" s="41" t="s">
        <v>29</v>
      </c>
      <c r="F326" s="41" t="s">
        <v>347</v>
      </c>
      <c r="G326" s="41" t="s">
        <v>24</v>
      </c>
      <c r="H326" s="42"/>
    </row>
    <row r="327" spans="2:8" ht="18" customHeight="1" x14ac:dyDescent="0.25">
      <c r="B327" s="40">
        <f>SUBTOTAL(3,C$4:C327)</f>
        <v>302</v>
      </c>
      <c r="C327" s="41">
        <v>24107799</v>
      </c>
      <c r="D327" s="41" t="s">
        <v>496</v>
      </c>
      <c r="E327" s="41" t="s">
        <v>29</v>
      </c>
      <c r="F327" s="41" t="s">
        <v>347</v>
      </c>
      <c r="G327" s="41" t="s">
        <v>28</v>
      </c>
      <c r="H327" s="42" t="s">
        <v>287</v>
      </c>
    </row>
    <row r="328" spans="2:8" ht="18" customHeight="1" x14ac:dyDescent="0.25">
      <c r="B328" s="40">
        <f>SUBTOTAL(3,C$4:C328)</f>
        <v>303</v>
      </c>
      <c r="C328" s="41">
        <v>24121872</v>
      </c>
      <c r="D328" s="41" t="s">
        <v>558</v>
      </c>
      <c r="E328" s="41" t="s">
        <v>29</v>
      </c>
      <c r="F328" s="41" t="s">
        <v>347</v>
      </c>
      <c r="G328" s="41" t="s">
        <v>24</v>
      </c>
      <c r="H328" s="42"/>
    </row>
    <row r="329" spans="2:8" ht="18" customHeight="1" x14ac:dyDescent="0.25">
      <c r="B329" s="40">
        <f>SUBTOTAL(3,C$4:C329)</f>
        <v>304</v>
      </c>
      <c r="C329" s="41">
        <v>24035140</v>
      </c>
      <c r="D329" s="41" t="s">
        <v>707</v>
      </c>
      <c r="E329" s="41" t="s">
        <v>29</v>
      </c>
      <c r="F329" s="41" t="s">
        <v>347</v>
      </c>
      <c r="G329" s="41" t="s">
        <v>24</v>
      </c>
      <c r="H329" s="42" t="s">
        <v>386</v>
      </c>
    </row>
    <row r="330" spans="2:8" ht="18" hidden="1" customHeight="1" x14ac:dyDescent="0.25">
      <c r="B330" s="40">
        <f>SUBTOTAL(3,C$4:C330)</f>
        <v>304</v>
      </c>
      <c r="C330" s="41">
        <v>24091699</v>
      </c>
      <c r="D330" s="41" t="s">
        <v>836</v>
      </c>
      <c r="E330" s="41" t="s">
        <v>29</v>
      </c>
      <c r="F330" s="41" t="s">
        <v>837</v>
      </c>
      <c r="G330" s="41" t="s">
        <v>27</v>
      </c>
      <c r="H330" s="42"/>
    </row>
    <row r="331" spans="2:8" ht="18" customHeight="1" x14ac:dyDescent="0.25">
      <c r="B331" s="40">
        <f>SUBTOTAL(3,C$4:C331)</f>
        <v>305</v>
      </c>
      <c r="C331" s="41">
        <v>24309419</v>
      </c>
      <c r="D331" s="41" t="s">
        <v>100</v>
      </c>
      <c r="E331" s="41" t="s">
        <v>29</v>
      </c>
      <c r="F331" s="41" t="s">
        <v>101</v>
      </c>
      <c r="G331" s="41" t="s">
        <v>26</v>
      </c>
      <c r="H331" s="42"/>
    </row>
    <row r="332" spans="2:8" ht="18" customHeight="1" x14ac:dyDescent="0.25">
      <c r="B332" s="40">
        <f>SUBTOTAL(3,C$4:C332)</f>
        <v>306</v>
      </c>
      <c r="C332" s="41">
        <v>24020213</v>
      </c>
      <c r="D332" s="41" t="s">
        <v>151</v>
      </c>
      <c r="E332" s="41" t="s">
        <v>29</v>
      </c>
      <c r="F332" s="41" t="s">
        <v>101</v>
      </c>
      <c r="G332" s="41" t="s">
        <v>26</v>
      </c>
      <c r="H332" s="42"/>
    </row>
    <row r="333" spans="2:8" ht="18" customHeight="1" x14ac:dyDescent="0.25">
      <c r="B333" s="40">
        <f>SUBTOTAL(3,C$4:C333)</f>
        <v>307</v>
      </c>
      <c r="C333" s="41">
        <v>24026961</v>
      </c>
      <c r="D333" s="41" t="s">
        <v>164</v>
      </c>
      <c r="E333" s="41" t="s">
        <v>29</v>
      </c>
      <c r="F333" s="41" t="s">
        <v>101</v>
      </c>
      <c r="G333" s="41" t="s">
        <v>26</v>
      </c>
      <c r="H333" s="42" t="s">
        <v>74</v>
      </c>
    </row>
    <row r="334" spans="2:8" ht="18" customHeight="1" x14ac:dyDescent="0.25">
      <c r="B334" s="40">
        <f>SUBTOTAL(3,C$4:C334)</f>
        <v>308</v>
      </c>
      <c r="C334" s="41">
        <v>24037811</v>
      </c>
      <c r="D334" s="41" t="s">
        <v>183</v>
      </c>
      <c r="E334" s="41" t="s">
        <v>29</v>
      </c>
      <c r="F334" s="41" t="s">
        <v>101</v>
      </c>
      <c r="G334" s="41" t="s">
        <v>26</v>
      </c>
      <c r="H334" s="42" t="s">
        <v>74</v>
      </c>
    </row>
    <row r="335" spans="2:8" ht="18" customHeight="1" x14ac:dyDescent="0.25">
      <c r="B335" s="40">
        <f>SUBTOTAL(3,C$4:C335)</f>
        <v>309</v>
      </c>
      <c r="C335" s="41">
        <v>24215688</v>
      </c>
      <c r="D335" s="41" t="s">
        <v>195</v>
      </c>
      <c r="E335" s="41" t="s">
        <v>29</v>
      </c>
      <c r="F335" s="41" t="s">
        <v>101</v>
      </c>
      <c r="G335" s="41" t="s">
        <v>26</v>
      </c>
      <c r="H335" s="42"/>
    </row>
    <row r="336" spans="2:8" ht="18" customHeight="1" x14ac:dyDescent="0.25">
      <c r="B336" s="40">
        <f>SUBTOTAL(3,C$4:C336)</f>
        <v>310</v>
      </c>
      <c r="C336" s="41">
        <v>24243813</v>
      </c>
      <c r="D336" s="41" t="s">
        <v>206</v>
      </c>
      <c r="E336" s="41" t="s">
        <v>29</v>
      </c>
      <c r="F336" s="41" t="s">
        <v>101</v>
      </c>
      <c r="G336" s="41" t="s">
        <v>26</v>
      </c>
      <c r="H336" s="42"/>
    </row>
    <row r="337" spans="2:8" ht="18" customHeight="1" x14ac:dyDescent="0.25">
      <c r="B337" s="40">
        <f>SUBTOTAL(3,C$4:C337)</f>
        <v>311</v>
      </c>
      <c r="C337" s="41">
        <v>24020302</v>
      </c>
      <c r="D337" s="41" t="s">
        <v>224</v>
      </c>
      <c r="E337" s="41" t="s">
        <v>29</v>
      </c>
      <c r="F337" s="41" t="s">
        <v>101</v>
      </c>
      <c r="G337" s="41" t="s">
        <v>26</v>
      </c>
      <c r="H337" s="42"/>
    </row>
    <row r="338" spans="2:8" ht="18" customHeight="1" x14ac:dyDescent="0.25">
      <c r="B338" s="40">
        <f>SUBTOTAL(3,C$4:C338)</f>
        <v>312</v>
      </c>
      <c r="C338" s="41">
        <v>24037853</v>
      </c>
      <c r="D338" s="41" t="s">
        <v>245</v>
      </c>
      <c r="E338" s="41" t="s">
        <v>29</v>
      </c>
      <c r="F338" s="41" t="s">
        <v>101</v>
      </c>
      <c r="G338" s="41" t="s">
        <v>26</v>
      </c>
      <c r="H338" s="42" t="s">
        <v>38</v>
      </c>
    </row>
    <row r="339" spans="2:8" ht="18" customHeight="1" x14ac:dyDescent="0.25">
      <c r="B339" s="40">
        <f>SUBTOTAL(3,C$4:C339)</f>
        <v>313</v>
      </c>
      <c r="C339" s="41">
        <v>24027009</v>
      </c>
      <c r="D339" s="41" t="s">
        <v>258</v>
      </c>
      <c r="E339" s="41" t="s">
        <v>29</v>
      </c>
      <c r="F339" s="41" t="s">
        <v>101</v>
      </c>
      <c r="G339" s="41" t="s">
        <v>26</v>
      </c>
      <c r="H339" s="42"/>
    </row>
    <row r="340" spans="2:8" ht="18" customHeight="1" x14ac:dyDescent="0.25">
      <c r="B340" s="40">
        <f>SUBTOTAL(3,C$4:C340)</f>
        <v>314</v>
      </c>
      <c r="C340" s="41">
        <v>24317957</v>
      </c>
      <c r="D340" s="41" t="s">
        <v>299</v>
      </c>
      <c r="E340" s="41" t="s">
        <v>29</v>
      </c>
      <c r="F340" s="41" t="s">
        <v>101</v>
      </c>
      <c r="G340" s="41" t="s">
        <v>26</v>
      </c>
      <c r="H340" s="42"/>
    </row>
    <row r="341" spans="2:8" ht="18" customHeight="1" x14ac:dyDescent="0.25">
      <c r="B341" s="40">
        <f>SUBTOTAL(3,C$4:C341)</f>
        <v>315</v>
      </c>
      <c r="C341" s="41">
        <v>24243417</v>
      </c>
      <c r="D341" s="41" t="s">
        <v>306</v>
      </c>
      <c r="E341" s="41" t="s">
        <v>29</v>
      </c>
      <c r="F341" s="41" t="s">
        <v>101</v>
      </c>
      <c r="G341" s="41" t="s">
        <v>26</v>
      </c>
      <c r="H341" s="42"/>
    </row>
    <row r="342" spans="2:8" ht="18" customHeight="1" x14ac:dyDescent="0.25">
      <c r="B342" s="40">
        <f>SUBTOTAL(3,C$4:C342)</f>
        <v>316</v>
      </c>
      <c r="C342" s="41">
        <v>24026720</v>
      </c>
      <c r="D342" s="41" t="s">
        <v>395</v>
      </c>
      <c r="E342" s="41" t="s">
        <v>29</v>
      </c>
      <c r="F342" s="41" t="s">
        <v>101</v>
      </c>
      <c r="G342" s="41" t="s">
        <v>26</v>
      </c>
      <c r="H342" s="42"/>
    </row>
    <row r="343" spans="2:8" ht="18" customHeight="1" x14ac:dyDescent="0.25">
      <c r="B343" s="40">
        <f>SUBTOTAL(3,C$4:C343)</f>
        <v>317</v>
      </c>
      <c r="C343" s="41">
        <v>24038388</v>
      </c>
      <c r="D343" s="41" t="s">
        <v>432</v>
      </c>
      <c r="E343" s="41" t="s">
        <v>29</v>
      </c>
      <c r="F343" s="41" t="s">
        <v>101</v>
      </c>
      <c r="G343" s="41" t="s">
        <v>26</v>
      </c>
      <c r="H343" s="42"/>
    </row>
    <row r="344" spans="2:8" ht="18" customHeight="1" x14ac:dyDescent="0.25">
      <c r="B344" s="40">
        <f>SUBTOTAL(3,C$4:C344)</f>
        <v>318</v>
      </c>
      <c r="C344" s="41">
        <v>24032952</v>
      </c>
      <c r="D344" s="41" t="s">
        <v>465</v>
      </c>
      <c r="E344" s="41" t="s">
        <v>29</v>
      </c>
      <c r="F344" s="41" t="s">
        <v>101</v>
      </c>
      <c r="G344" s="41" t="s">
        <v>26</v>
      </c>
      <c r="H344" s="42"/>
    </row>
    <row r="345" spans="2:8" ht="18" customHeight="1" x14ac:dyDescent="0.25">
      <c r="B345" s="40">
        <f>SUBTOTAL(3,C$4:C345)</f>
        <v>319</v>
      </c>
      <c r="C345" s="41">
        <v>24028071</v>
      </c>
      <c r="D345" s="41" t="s">
        <v>479</v>
      </c>
      <c r="E345" s="41" t="s">
        <v>29</v>
      </c>
      <c r="F345" s="41" t="s">
        <v>101</v>
      </c>
      <c r="G345" s="41" t="s">
        <v>26</v>
      </c>
      <c r="H345" s="42"/>
    </row>
    <row r="346" spans="2:8" ht="18" customHeight="1" x14ac:dyDescent="0.25">
      <c r="B346" s="40">
        <f>SUBTOTAL(3,C$4:C346)</f>
        <v>320</v>
      </c>
      <c r="C346" s="41">
        <v>24121628</v>
      </c>
      <c r="D346" s="41" t="s">
        <v>489</v>
      </c>
      <c r="E346" s="41" t="s">
        <v>29</v>
      </c>
      <c r="F346" s="41" t="s">
        <v>101</v>
      </c>
      <c r="G346" s="41" t="s">
        <v>26</v>
      </c>
      <c r="H346" s="42"/>
    </row>
    <row r="347" spans="2:8" ht="18" customHeight="1" x14ac:dyDescent="0.25">
      <c r="B347" s="40">
        <f>SUBTOTAL(3,C$4:C347)</f>
        <v>321</v>
      </c>
      <c r="C347" s="41">
        <v>24023272</v>
      </c>
      <c r="D347" s="41" t="s">
        <v>493</v>
      </c>
      <c r="E347" s="41" t="s">
        <v>29</v>
      </c>
      <c r="F347" s="41" t="s">
        <v>101</v>
      </c>
      <c r="G347" s="41" t="s">
        <v>26</v>
      </c>
      <c r="H347" s="42" t="s">
        <v>80</v>
      </c>
    </row>
    <row r="348" spans="2:8" ht="18" customHeight="1" x14ac:dyDescent="0.25">
      <c r="B348" s="40">
        <f>SUBTOTAL(3,C$4:C348)</f>
        <v>322</v>
      </c>
      <c r="C348" s="41">
        <v>24120440</v>
      </c>
      <c r="D348" s="41" t="s">
        <v>509</v>
      </c>
      <c r="E348" s="41" t="s">
        <v>29</v>
      </c>
      <c r="F348" s="41" t="s">
        <v>101</v>
      </c>
      <c r="G348" s="41" t="s">
        <v>26</v>
      </c>
      <c r="H348" s="42"/>
    </row>
    <row r="349" spans="2:8" ht="18" customHeight="1" x14ac:dyDescent="0.25">
      <c r="B349" s="40">
        <f>SUBTOTAL(3,C$4:C349)</f>
        <v>323</v>
      </c>
      <c r="C349" s="41">
        <v>24020234</v>
      </c>
      <c r="D349" s="41" t="s">
        <v>519</v>
      </c>
      <c r="E349" s="41" t="s">
        <v>29</v>
      </c>
      <c r="F349" s="41" t="s">
        <v>101</v>
      </c>
      <c r="G349" s="41" t="s">
        <v>26</v>
      </c>
      <c r="H349" s="42"/>
    </row>
    <row r="350" spans="2:8" ht="18" customHeight="1" x14ac:dyDescent="0.25">
      <c r="B350" s="40">
        <f>SUBTOTAL(3,C$4:C350)</f>
        <v>324</v>
      </c>
      <c r="C350" s="41">
        <v>24022668</v>
      </c>
      <c r="D350" s="41" t="s">
        <v>550</v>
      </c>
      <c r="E350" s="41" t="s">
        <v>29</v>
      </c>
      <c r="F350" s="41" t="s">
        <v>101</v>
      </c>
      <c r="G350" s="41" t="s">
        <v>26</v>
      </c>
      <c r="H350" s="42"/>
    </row>
    <row r="351" spans="2:8" ht="18" customHeight="1" x14ac:dyDescent="0.25">
      <c r="B351" s="40">
        <f>SUBTOTAL(3,C$4:C351)</f>
        <v>325</v>
      </c>
      <c r="C351" s="41">
        <v>24021814</v>
      </c>
      <c r="D351" s="41" t="s">
        <v>575</v>
      </c>
      <c r="E351" s="41" t="s">
        <v>29</v>
      </c>
      <c r="F351" s="41" t="s">
        <v>101</v>
      </c>
      <c r="G351" s="41" t="s">
        <v>26</v>
      </c>
      <c r="H351" s="42"/>
    </row>
    <row r="352" spans="2:8" ht="18" customHeight="1" x14ac:dyDescent="0.25">
      <c r="B352" s="40">
        <f>SUBTOTAL(3,C$4:C352)</f>
        <v>326</v>
      </c>
      <c r="C352" s="41">
        <v>24237065</v>
      </c>
      <c r="D352" s="41" t="s">
        <v>576</v>
      </c>
      <c r="E352" s="41" t="s">
        <v>29</v>
      </c>
      <c r="F352" s="41" t="s">
        <v>101</v>
      </c>
      <c r="G352" s="41" t="s">
        <v>26</v>
      </c>
      <c r="H352" s="42"/>
    </row>
    <row r="353" spans="2:8" ht="18" customHeight="1" x14ac:dyDescent="0.25">
      <c r="B353" s="40">
        <f>SUBTOTAL(3,C$4:C353)</f>
        <v>327</v>
      </c>
      <c r="C353" s="41">
        <v>24031807</v>
      </c>
      <c r="D353" s="41" t="s">
        <v>587</v>
      </c>
      <c r="E353" s="41" t="s">
        <v>29</v>
      </c>
      <c r="F353" s="41" t="s">
        <v>101</v>
      </c>
      <c r="G353" s="41" t="s">
        <v>26</v>
      </c>
      <c r="H353" s="42"/>
    </row>
    <row r="354" spans="2:8" ht="18" customHeight="1" x14ac:dyDescent="0.25">
      <c r="B354" s="40">
        <f>SUBTOTAL(3,C$4:C354)</f>
        <v>328</v>
      </c>
      <c r="C354" s="41">
        <v>24020806</v>
      </c>
      <c r="D354" s="41" t="s">
        <v>643</v>
      </c>
      <c r="E354" s="41" t="s">
        <v>29</v>
      </c>
      <c r="F354" s="41" t="s">
        <v>101</v>
      </c>
      <c r="G354" s="41" t="s">
        <v>26</v>
      </c>
      <c r="H354" s="42" t="s">
        <v>80</v>
      </c>
    </row>
    <row r="355" spans="2:8" ht="18" customHeight="1" x14ac:dyDescent="0.25">
      <c r="B355" s="40">
        <f>SUBTOTAL(3,C$4:C355)</f>
        <v>329</v>
      </c>
      <c r="C355" s="41">
        <v>24032836</v>
      </c>
      <c r="D355" s="41" t="s">
        <v>719</v>
      </c>
      <c r="E355" s="41" t="s">
        <v>29</v>
      </c>
      <c r="F355" s="41" t="s">
        <v>101</v>
      </c>
      <c r="G355" s="41" t="s">
        <v>26</v>
      </c>
      <c r="H355" s="42"/>
    </row>
    <row r="356" spans="2:8" ht="18" customHeight="1" x14ac:dyDescent="0.25">
      <c r="B356" s="40">
        <f>SUBTOTAL(3,C$4:C356)</f>
        <v>330</v>
      </c>
      <c r="C356" s="41">
        <v>24028388</v>
      </c>
      <c r="D356" s="41" t="s">
        <v>741</v>
      </c>
      <c r="E356" s="41" t="s">
        <v>29</v>
      </c>
      <c r="F356" s="41" t="s">
        <v>101</v>
      </c>
      <c r="G356" s="41" t="s">
        <v>26</v>
      </c>
      <c r="H356" s="42"/>
    </row>
    <row r="357" spans="2:8" ht="18" customHeight="1" x14ac:dyDescent="0.25">
      <c r="B357" s="40">
        <f>SUBTOTAL(3,C$4:C357)</f>
        <v>331</v>
      </c>
      <c r="C357" s="41">
        <v>24033291</v>
      </c>
      <c r="D357" s="41" t="s">
        <v>788</v>
      </c>
      <c r="E357" s="41" t="s">
        <v>29</v>
      </c>
      <c r="F357" s="41" t="s">
        <v>101</v>
      </c>
      <c r="G357" s="41" t="s">
        <v>26</v>
      </c>
      <c r="H357" s="42"/>
    </row>
    <row r="358" spans="2:8" ht="18" customHeight="1" x14ac:dyDescent="0.25">
      <c r="B358" s="40">
        <f>SUBTOTAL(3,C$4:C358)</f>
        <v>332</v>
      </c>
      <c r="C358" s="41">
        <v>24029959</v>
      </c>
      <c r="D358" s="41" t="s">
        <v>812</v>
      </c>
      <c r="E358" s="41" t="s">
        <v>29</v>
      </c>
      <c r="F358" s="41" t="s">
        <v>101</v>
      </c>
      <c r="G358" s="41" t="s">
        <v>26</v>
      </c>
      <c r="H358" s="42"/>
    </row>
    <row r="359" spans="2:8" ht="18" customHeight="1" x14ac:dyDescent="0.25">
      <c r="B359" s="40">
        <f>SUBTOTAL(3,C$4:C359)</f>
        <v>333</v>
      </c>
      <c r="C359" s="41">
        <v>24255732</v>
      </c>
      <c r="D359" s="41" t="s">
        <v>817</v>
      </c>
      <c r="E359" s="41" t="s">
        <v>29</v>
      </c>
      <c r="F359" s="41" t="s">
        <v>101</v>
      </c>
      <c r="G359" s="41" t="s">
        <v>26</v>
      </c>
      <c r="H359" s="42" t="s">
        <v>201</v>
      </c>
    </row>
    <row r="360" spans="2:8" ht="18" customHeight="1" x14ac:dyDescent="0.25">
      <c r="B360" s="40">
        <f>SUBTOTAL(3,C$4:C360)</f>
        <v>334</v>
      </c>
      <c r="C360" s="41">
        <v>24029976</v>
      </c>
      <c r="D360" s="41" t="s">
        <v>834</v>
      </c>
      <c r="E360" s="41" t="s">
        <v>29</v>
      </c>
      <c r="F360" s="41" t="s">
        <v>101</v>
      </c>
      <c r="G360" s="41" t="s">
        <v>26</v>
      </c>
      <c r="H360" s="42"/>
    </row>
    <row r="361" spans="2:8" ht="18" customHeight="1" x14ac:dyDescent="0.25">
      <c r="B361" s="40">
        <f>SUBTOTAL(3,C$4:C361)</f>
        <v>335</v>
      </c>
      <c r="C361" s="41">
        <v>24323800</v>
      </c>
      <c r="D361" s="41" t="s">
        <v>94</v>
      </c>
      <c r="E361" s="41" t="s">
        <v>29</v>
      </c>
      <c r="F361" s="41" t="s">
        <v>95</v>
      </c>
      <c r="G361" s="41" t="s">
        <v>26</v>
      </c>
      <c r="H361" s="42"/>
    </row>
    <row r="362" spans="2:8" ht="18" customHeight="1" x14ac:dyDescent="0.25">
      <c r="B362" s="40">
        <f>SUBTOTAL(3,C$4:C362)</f>
        <v>336</v>
      </c>
      <c r="C362" s="41">
        <v>24023436</v>
      </c>
      <c r="D362" s="41" t="s">
        <v>142</v>
      </c>
      <c r="E362" s="41" t="s">
        <v>29</v>
      </c>
      <c r="F362" s="41" t="s">
        <v>95</v>
      </c>
      <c r="G362" s="41" t="s">
        <v>24</v>
      </c>
      <c r="H362" s="42"/>
    </row>
    <row r="363" spans="2:8" ht="18" customHeight="1" x14ac:dyDescent="0.25">
      <c r="B363" s="40">
        <f>SUBTOTAL(3,C$4:C363)</f>
        <v>337</v>
      </c>
      <c r="C363" s="41">
        <v>24039312</v>
      </c>
      <c r="D363" s="41" t="s">
        <v>160</v>
      </c>
      <c r="E363" s="41" t="s">
        <v>29</v>
      </c>
      <c r="F363" s="41" t="s">
        <v>95</v>
      </c>
      <c r="G363" s="41" t="s">
        <v>26</v>
      </c>
      <c r="H363" s="42"/>
    </row>
    <row r="364" spans="2:8" ht="18" customHeight="1" x14ac:dyDescent="0.25">
      <c r="B364" s="40">
        <f>SUBTOTAL(3,C$4:C364)</f>
        <v>338</v>
      </c>
      <c r="C364" s="41">
        <v>24100957</v>
      </c>
      <c r="D364" s="41" t="s">
        <v>165</v>
      </c>
      <c r="E364" s="41" t="s">
        <v>29</v>
      </c>
      <c r="F364" s="41" t="s">
        <v>95</v>
      </c>
      <c r="G364" s="41" t="s">
        <v>28</v>
      </c>
      <c r="H364" s="42"/>
    </row>
    <row r="365" spans="2:8" ht="18" customHeight="1" x14ac:dyDescent="0.25">
      <c r="B365" s="40">
        <f>SUBTOTAL(3,C$4:C365)</f>
        <v>339</v>
      </c>
      <c r="C365" s="41">
        <v>24374193</v>
      </c>
      <c r="D365" s="41" t="s">
        <v>178</v>
      </c>
      <c r="E365" s="41" t="s">
        <v>29</v>
      </c>
      <c r="F365" s="41" t="s">
        <v>95</v>
      </c>
      <c r="G365" s="41" t="s">
        <v>26</v>
      </c>
      <c r="H365" s="42"/>
    </row>
    <row r="366" spans="2:8" ht="18" customHeight="1" x14ac:dyDescent="0.25">
      <c r="B366" s="40">
        <f>SUBTOTAL(3,C$4:C366)</f>
        <v>340</v>
      </c>
      <c r="C366" s="41">
        <v>24316502</v>
      </c>
      <c r="D366" s="41" t="s">
        <v>189</v>
      </c>
      <c r="E366" s="41" t="s">
        <v>29</v>
      </c>
      <c r="F366" s="41" t="s">
        <v>95</v>
      </c>
      <c r="G366" s="41" t="s">
        <v>26</v>
      </c>
      <c r="H366" s="42"/>
    </row>
    <row r="367" spans="2:8" ht="18" customHeight="1" x14ac:dyDescent="0.25">
      <c r="B367" s="40">
        <f>SUBTOTAL(3,C$4:C367)</f>
        <v>341</v>
      </c>
      <c r="C367" s="41">
        <v>24315701</v>
      </c>
      <c r="D367" s="41" t="s">
        <v>213</v>
      </c>
      <c r="E367" s="41" t="s">
        <v>29</v>
      </c>
      <c r="F367" s="41" t="s">
        <v>95</v>
      </c>
      <c r="G367" s="41" t="s">
        <v>28</v>
      </c>
      <c r="H367" s="42"/>
    </row>
    <row r="368" spans="2:8" ht="18" customHeight="1" x14ac:dyDescent="0.25">
      <c r="B368" s="40">
        <f>SUBTOTAL(3,C$4:C368)</f>
        <v>342</v>
      </c>
      <c r="C368" s="41">
        <v>24023110</v>
      </c>
      <c r="D368" s="41" t="s">
        <v>221</v>
      </c>
      <c r="E368" s="41" t="s">
        <v>29</v>
      </c>
      <c r="F368" s="41" t="s">
        <v>95</v>
      </c>
      <c r="G368" s="41" t="s">
        <v>26</v>
      </c>
      <c r="H368" s="42"/>
    </row>
    <row r="369" spans="2:8" ht="18" customHeight="1" x14ac:dyDescent="0.25">
      <c r="B369" s="40">
        <f>SUBTOTAL(3,C$4:C369)</f>
        <v>343</v>
      </c>
      <c r="C369" s="41">
        <v>24252444</v>
      </c>
      <c r="D369" s="41" t="s">
        <v>227</v>
      </c>
      <c r="E369" s="41" t="s">
        <v>29</v>
      </c>
      <c r="F369" s="41" t="s">
        <v>95</v>
      </c>
      <c r="G369" s="41" t="s">
        <v>28</v>
      </c>
      <c r="H369" s="42"/>
    </row>
    <row r="370" spans="2:8" ht="18" customHeight="1" x14ac:dyDescent="0.25">
      <c r="B370" s="40">
        <f>SUBTOTAL(3,C$4:C370)</f>
        <v>344</v>
      </c>
      <c r="C370" s="41">
        <v>24209941</v>
      </c>
      <c r="D370" s="41" t="s">
        <v>310</v>
      </c>
      <c r="E370" s="41" t="s">
        <v>29</v>
      </c>
      <c r="F370" s="41" t="s">
        <v>95</v>
      </c>
      <c r="G370" s="41" t="s">
        <v>28</v>
      </c>
      <c r="H370" s="42"/>
    </row>
    <row r="371" spans="2:8" ht="18" customHeight="1" x14ac:dyDescent="0.25">
      <c r="B371" s="40">
        <f>SUBTOTAL(3,C$4:C371)</f>
        <v>345</v>
      </c>
      <c r="C371" s="41">
        <v>24105889</v>
      </c>
      <c r="D371" s="41" t="s">
        <v>322</v>
      </c>
      <c r="E371" s="41" t="s">
        <v>29</v>
      </c>
      <c r="F371" s="41" t="s">
        <v>95</v>
      </c>
      <c r="G371" s="41" t="s">
        <v>28</v>
      </c>
      <c r="H371" s="42"/>
    </row>
    <row r="372" spans="2:8" ht="18" customHeight="1" x14ac:dyDescent="0.25">
      <c r="B372" s="40">
        <f>SUBTOTAL(3,C$4:C372)</f>
        <v>346</v>
      </c>
      <c r="C372" s="41">
        <v>24281714</v>
      </c>
      <c r="D372" s="41" t="s">
        <v>373</v>
      </c>
      <c r="E372" s="41" t="s">
        <v>29</v>
      </c>
      <c r="F372" s="41" t="s">
        <v>95</v>
      </c>
      <c r="G372" s="41" t="s">
        <v>26</v>
      </c>
      <c r="H372" s="42"/>
    </row>
    <row r="373" spans="2:8" ht="18" customHeight="1" x14ac:dyDescent="0.25">
      <c r="B373" s="40">
        <f>SUBTOTAL(3,C$4:C373)</f>
        <v>347</v>
      </c>
      <c r="C373" s="41">
        <v>24356650</v>
      </c>
      <c r="D373" s="41" t="s">
        <v>404</v>
      </c>
      <c r="E373" s="41" t="s">
        <v>29</v>
      </c>
      <c r="F373" s="41" t="s">
        <v>95</v>
      </c>
      <c r="G373" s="41" t="s">
        <v>28</v>
      </c>
      <c r="H373" s="42"/>
    </row>
    <row r="374" spans="2:8" ht="18" customHeight="1" x14ac:dyDescent="0.25">
      <c r="B374" s="40">
        <f>SUBTOTAL(3,C$4:C374)</f>
        <v>348</v>
      </c>
      <c r="C374" s="41">
        <v>24113831</v>
      </c>
      <c r="D374" s="41" t="s">
        <v>454</v>
      </c>
      <c r="E374" s="41" t="s">
        <v>29</v>
      </c>
      <c r="F374" s="41" t="s">
        <v>95</v>
      </c>
      <c r="G374" s="41" t="s">
        <v>28</v>
      </c>
      <c r="H374" s="42"/>
    </row>
    <row r="375" spans="2:8" ht="18" customHeight="1" x14ac:dyDescent="0.25">
      <c r="B375" s="40">
        <f>SUBTOTAL(3,C$4:C375)</f>
        <v>349</v>
      </c>
      <c r="C375" s="41">
        <v>24025569</v>
      </c>
      <c r="D375" s="41" t="s">
        <v>474</v>
      </c>
      <c r="E375" s="41" t="s">
        <v>29</v>
      </c>
      <c r="F375" s="41" t="s">
        <v>95</v>
      </c>
      <c r="G375" s="41" t="s">
        <v>26</v>
      </c>
      <c r="H375" s="42"/>
    </row>
    <row r="376" spans="2:8" ht="18" customHeight="1" x14ac:dyDescent="0.25">
      <c r="B376" s="40">
        <f>SUBTOTAL(3,C$4:C376)</f>
        <v>350</v>
      </c>
      <c r="C376" s="41">
        <v>24021595</v>
      </c>
      <c r="D376" s="41" t="s">
        <v>485</v>
      </c>
      <c r="E376" s="41" t="s">
        <v>29</v>
      </c>
      <c r="F376" s="41" t="s">
        <v>95</v>
      </c>
      <c r="G376" s="41" t="s">
        <v>26</v>
      </c>
      <c r="H376" s="42"/>
    </row>
    <row r="377" spans="2:8" ht="18" customHeight="1" x14ac:dyDescent="0.25">
      <c r="B377" s="40">
        <f>SUBTOTAL(3,C$4:C377)</f>
        <v>351</v>
      </c>
      <c r="C377" s="41">
        <v>24225233</v>
      </c>
      <c r="D377" s="41" t="s">
        <v>535</v>
      </c>
      <c r="E377" s="41" t="s">
        <v>29</v>
      </c>
      <c r="F377" s="41" t="s">
        <v>95</v>
      </c>
      <c r="G377" s="41" t="s">
        <v>26</v>
      </c>
      <c r="H377" s="42" t="s">
        <v>287</v>
      </c>
    </row>
    <row r="378" spans="2:8" ht="18" customHeight="1" x14ac:dyDescent="0.25">
      <c r="B378" s="40">
        <f>SUBTOTAL(3,C$4:C378)</f>
        <v>352</v>
      </c>
      <c r="C378" s="41">
        <v>24339610</v>
      </c>
      <c r="D378" s="41" t="s">
        <v>539</v>
      </c>
      <c r="E378" s="41" t="s">
        <v>29</v>
      </c>
      <c r="F378" s="41" t="s">
        <v>95</v>
      </c>
      <c r="G378" s="41" t="s">
        <v>26</v>
      </c>
      <c r="H378" s="42"/>
    </row>
    <row r="379" spans="2:8" ht="18" customHeight="1" x14ac:dyDescent="0.25">
      <c r="B379" s="40">
        <f>SUBTOTAL(3,C$4:C379)</f>
        <v>353</v>
      </c>
      <c r="C379" s="41">
        <v>24039343</v>
      </c>
      <c r="D379" s="41" t="s">
        <v>577</v>
      </c>
      <c r="E379" s="41" t="s">
        <v>29</v>
      </c>
      <c r="F379" s="41" t="s">
        <v>95</v>
      </c>
      <c r="G379" s="41" t="s">
        <v>26</v>
      </c>
      <c r="H379" s="42"/>
    </row>
    <row r="380" spans="2:8" ht="18" customHeight="1" x14ac:dyDescent="0.25">
      <c r="B380" s="40">
        <f>SUBTOTAL(3,C$4:C380)</f>
        <v>354</v>
      </c>
      <c r="C380" s="41">
        <v>24356661</v>
      </c>
      <c r="D380" s="41" t="s">
        <v>618</v>
      </c>
      <c r="E380" s="41" t="s">
        <v>29</v>
      </c>
      <c r="F380" s="41" t="s">
        <v>95</v>
      </c>
      <c r="G380" s="41" t="s">
        <v>28</v>
      </c>
      <c r="H380" s="42"/>
    </row>
    <row r="381" spans="2:8" ht="18" customHeight="1" x14ac:dyDescent="0.25">
      <c r="B381" s="40">
        <f>SUBTOTAL(3,C$4:C381)</f>
        <v>355</v>
      </c>
      <c r="C381" s="41">
        <v>24027322</v>
      </c>
      <c r="D381" s="41" t="s">
        <v>721</v>
      </c>
      <c r="E381" s="41" t="s">
        <v>29</v>
      </c>
      <c r="F381" s="41" t="s">
        <v>95</v>
      </c>
      <c r="G381" s="41" t="s">
        <v>26</v>
      </c>
      <c r="H381" s="42"/>
    </row>
    <row r="382" spans="2:8" ht="18" customHeight="1" x14ac:dyDescent="0.25">
      <c r="B382" s="40">
        <f>SUBTOTAL(3,C$4:C382)</f>
        <v>356</v>
      </c>
      <c r="C382" s="41">
        <v>24324717</v>
      </c>
      <c r="D382" s="41" t="s">
        <v>754</v>
      </c>
      <c r="E382" s="41" t="s">
        <v>29</v>
      </c>
      <c r="F382" s="41" t="s">
        <v>95</v>
      </c>
      <c r="G382" s="41" t="s">
        <v>26</v>
      </c>
      <c r="H382" s="42"/>
    </row>
    <row r="383" spans="2:8" ht="18" customHeight="1" x14ac:dyDescent="0.25">
      <c r="B383" s="40">
        <f>SUBTOTAL(3,C$4:C383)</f>
        <v>357</v>
      </c>
      <c r="C383" s="41">
        <v>24025389</v>
      </c>
      <c r="D383" s="41" t="s">
        <v>780</v>
      </c>
      <c r="E383" s="41" t="s">
        <v>29</v>
      </c>
      <c r="F383" s="41" t="s">
        <v>95</v>
      </c>
      <c r="G383" s="41" t="s">
        <v>26</v>
      </c>
      <c r="H383" s="42"/>
    </row>
    <row r="384" spans="2:8" ht="18" customHeight="1" x14ac:dyDescent="0.25">
      <c r="B384" s="40">
        <f>SUBTOTAL(3,C$4:C384)</f>
        <v>358</v>
      </c>
      <c r="C384" s="41">
        <v>24331844</v>
      </c>
      <c r="D384" s="41" t="s">
        <v>785</v>
      </c>
      <c r="E384" s="41" t="s">
        <v>29</v>
      </c>
      <c r="F384" s="41" t="s">
        <v>95</v>
      </c>
      <c r="G384" s="41" t="s">
        <v>26</v>
      </c>
      <c r="H384" s="42"/>
    </row>
    <row r="385" spans="2:8" ht="18" customHeight="1" x14ac:dyDescent="0.25">
      <c r="B385" s="40">
        <f>SUBTOTAL(3,C$4:C385)</f>
        <v>359</v>
      </c>
      <c r="C385" s="41">
        <v>24026163</v>
      </c>
      <c r="D385" s="41" t="s">
        <v>820</v>
      </c>
      <c r="E385" s="41" t="s">
        <v>29</v>
      </c>
      <c r="F385" s="41" t="s">
        <v>95</v>
      </c>
      <c r="G385" s="41" t="s">
        <v>26</v>
      </c>
      <c r="H385" s="42"/>
    </row>
    <row r="386" spans="2:8" ht="18" customHeight="1" x14ac:dyDescent="0.25">
      <c r="B386" s="40">
        <f>SUBTOTAL(3,C$4:C386)</f>
        <v>360</v>
      </c>
      <c r="C386" s="41">
        <v>24037703</v>
      </c>
      <c r="D386" s="41" t="s">
        <v>827</v>
      </c>
      <c r="E386" s="41" t="s">
        <v>29</v>
      </c>
      <c r="F386" s="41" t="s">
        <v>95</v>
      </c>
      <c r="G386" s="41" t="s">
        <v>26</v>
      </c>
      <c r="H386" s="42"/>
    </row>
    <row r="387" spans="2:8" ht="18" customHeight="1" x14ac:dyDescent="0.25">
      <c r="B387" s="40">
        <f>SUBTOTAL(3,C$4:C387)</f>
        <v>361</v>
      </c>
      <c r="C387" s="41">
        <v>24243736</v>
      </c>
      <c r="D387" s="41" t="s">
        <v>839</v>
      </c>
      <c r="E387" s="41" t="s">
        <v>29</v>
      </c>
      <c r="F387" s="41" t="s">
        <v>95</v>
      </c>
      <c r="G387" s="41" t="s">
        <v>26</v>
      </c>
      <c r="H387" s="42" t="s">
        <v>287</v>
      </c>
    </row>
    <row r="388" spans="2:8" ht="18" customHeight="1" x14ac:dyDescent="0.25">
      <c r="B388" s="40">
        <f>SUBTOTAL(3,C$4:C388)</f>
        <v>362</v>
      </c>
      <c r="C388" s="41">
        <v>24020831</v>
      </c>
      <c r="D388" s="41" t="s">
        <v>859</v>
      </c>
      <c r="E388" s="41" t="s">
        <v>29</v>
      </c>
      <c r="F388" s="41" t="s">
        <v>95</v>
      </c>
      <c r="G388" s="41" t="s">
        <v>26</v>
      </c>
      <c r="H388" s="42"/>
    </row>
    <row r="389" spans="2:8" ht="18" customHeight="1" x14ac:dyDescent="0.25">
      <c r="B389" s="40">
        <f>SUBTOTAL(3,C$4:C389)</f>
        <v>363</v>
      </c>
      <c r="C389" s="41">
        <v>24309020</v>
      </c>
      <c r="D389" s="41" t="s">
        <v>143</v>
      </c>
      <c r="E389" s="41" t="s">
        <v>29</v>
      </c>
      <c r="F389" s="41" t="s">
        <v>144</v>
      </c>
      <c r="G389" s="41" t="s">
        <v>26</v>
      </c>
      <c r="H389" s="42" t="s">
        <v>145</v>
      </c>
    </row>
    <row r="390" spans="2:8" ht="18" customHeight="1" x14ac:dyDescent="0.25">
      <c r="B390" s="40">
        <f>SUBTOTAL(3,C$4:C390)</f>
        <v>364</v>
      </c>
      <c r="C390" s="41">
        <v>24348154</v>
      </c>
      <c r="D390" s="41" t="s">
        <v>172</v>
      </c>
      <c r="E390" s="41" t="s">
        <v>29</v>
      </c>
      <c r="F390" s="41" t="s">
        <v>144</v>
      </c>
      <c r="G390" s="41" t="s">
        <v>26</v>
      </c>
      <c r="H390" s="42"/>
    </row>
    <row r="391" spans="2:8" ht="18" customHeight="1" x14ac:dyDescent="0.25">
      <c r="B391" s="40">
        <f>SUBTOTAL(3,C$4:C391)</f>
        <v>365</v>
      </c>
      <c r="C391" s="41">
        <v>24356625</v>
      </c>
      <c r="D391" s="41" t="s">
        <v>194</v>
      </c>
      <c r="E391" s="41" t="s">
        <v>29</v>
      </c>
      <c r="F391" s="41" t="s">
        <v>144</v>
      </c>
      <c r="G391" s="41" t="s">
        <v>28</v>
      </c>
      <c r="H391" s="42"/>
    </row>
    <row r="392" spans="2:8" ht="18" customHeight="1" x14ac:dyDescent="0.25">
      <c r="B392" s="40">
        <f>SUBTOTAL(3,C$4:C392)</f>
        <v>366</v>
      </c>
      <c r="C392" s="41">
        <v>24117664</v>
      </c>
      <c r="D392" s="41" t="s">
        <v>204</v>
      </c>
      <c r="E392" s="41" t="s">
        <v>29</v>
      </c>
      <c r="F392" s="41" t="s">
        <v>144</v>
      </c>
      <c r="G392" s="41" t="s">
        <v>28</v>
      </c>
      <c r="H392" s="42"/>
    </row>
    <row r="393" spans="2:8" ht="18" customHeight="1" x14ac:dyDescent="0.25">
      <c r="B393" s="40">
        <f>SUBTOTAL(3,C$4:C393)</f>
        <v>367</v>
      </c>
      <c r="C393" s="41">
        <v>24030061</v>
      </c>
      <c r="D393" s="41" t="s">
        <v>244</v>
      </c>
      <c r="E393" s="41" t="s">
        <v>29</v>
      </c>
      <c r="F393" s="41" t="s">
        <v>144</v>
      </c>
      <c r="G393" s="41" t="s">
        <v>26</v>
      </c>
      <c r="H393" s="42" t="s">
        <v>201</v>
      </c>
    </row>
    <row r="394" spans="2:8" ht="18" customHeight="1" x14ac:dyDescent="0.25">
      <c r="B394" s="40">
        <f>SUBTOTAL(3,C$4:C394)</f>
        <v>368</v>
      </c>
      <c r="C394" s="41">
        <v>24024239</v>
      </c>
      <c r="D394" s="41" t="s">
        <v>266</v>
      </c>
      <c r="E394" s="41" t="s">
        <v>29</v>
      </c>
      <c r="F394" s="41" t="s">
        <v>144</v>
      </c>
      <c r="G394" s="41" t="s">
        <v>26</v>
      </c>
      <c r="H394" s="42" t="s">
        <v>74</v>
      </c>
    </row>
    <row r="395" spans="2:8" ht="18" customHeight="1" x14ac:dyDescent="0.25">
      <c r="B395" s="40">
        <f>SUBTOTAL(3,C$4:C395)</f>
        <v>369</v>
      </c>
      <c r="C395" s="41">
        <v>24022498</v>
      </c>
      <c r="D395" s="41" t="s">
        <v>302</v>
      </c>
      <c r="E395" s="41" t="s">
        <v>29</v>
      </c>
      <c r="F395" s="41" t="s">
        <v>144</v>
      </c>
      <c r="G395" s="41" t="s">
        <v>26</v>
      </c>
      <c r="H395" s="42" t="s">
        <v>80</v>
      </c>
    </row>
    <row r="396" spans="2:8" ht="18" customHeight="1" x14ac:dyDescent="0.25">
      <c r="B396" s="40">
        <f>SUBTOTAL(3,C$4:C396)</f>
        <v>370</v>
      </c>
      <c r="C396" s="41">
        <v>24028148</v>
      </c>
      <c r="D396" s="41" t="s">
        <v>405</v>
      </c>
      <c r="E396" s="41" t="s">
        <v>29</v>
      </c>
      <c r="F396" s="41" t="s">
        <v>144</v>
      </c>
      <c r="G396" s="41" t="s">
        <v>26</v>
      </c>
      <c r="H396" s="42"/>
    </row>
    <row r="397" spans="2:8" ht="18" customHeight="1" x14ac:dyDescent="0.25">
      <c r="B397" s="40">
        <f>SUBTOTAL(3,C$4:C397)</f>
        <v>371</v>
      </c>
      <c r="C397" s="41">
        <v>24373047</v>
      </c>
      <c r="D397" s="41" t="s">
        <v>411</v>
      </c>
      <c r="E397" s="41" t="s">
        <v>29</v>
      </c>
      <c r="F397" s="41" t="s">
        <v>144</v>
      </c>
      <c r="G397" s="41" t="s">
        <v>28</v>
      </c>
      <c r="H397" s="42"/>
    </row>
    <row r="398" spans="2:8" ht="18" customHeight="1" x14ac:dyDescent="0.25">
      <c r="B398" s="40">
        <f>SUBTOTAL(3,C$4:C398)</f>
        <v>372</v>
      </c>
      <c r="C398" s="41">
        <v>24344463</v>
      </c>
      <c r="D398" s="41" t="s">
        <v>460</v>
      </c>
      <c r="E398" s="41" t="s">
        <v>29</v>
      </c>
      <c r="F398" s="41" t="s">
        <v>144</v>
      </c>
      <c r="G398" s="41" t="s">
        <v>28</v>
      </c>
      <c r="H398" s="42"/>
    </row>
    <row r="399" spans="2:8" ht="18" customHeight="1" x14ac:dyDescent="0.25">
      <c r="B399" s="40">
        <f>SUBTOTAL(3,C$4:C399)</f>
        <v>373</v>
      </c>
      <c r="C399" s="41">
        <v>24323973</v>
      </c>
      <c r="D399" s="41" t="s">
        <v>463</v>
      </c>
      <c r="E399" s="41" t="s">
        <v>29</v>
      </c>
      <c r="F399" s="41" t="s">
        <v>144</v>
      </c>
      <c r="G399" s="41" t="s">
        <v>26</v>
      </c>
      <c r="H399" s="42"/>
    </row>
    <row r="400" spans="2:8" ht="18" customHeight="1" x14ac:dyDescent="0.25">
      <c r="B400" s="40">
        <f>SUBTOTAL(3,C$4:C400)</f>
        <v>374</v>
      </c>
      <c r="C400" s="41">
        <v>24294311</v>
      </c>
      <c r="D400" s="41" t="s">
        <v>470</v>
      </c>
      <c r="E400" s="41" t="s">
        <v>29</v>
      </c>
      <c r="F400" s="41" t="s">
        <v>144</v>
      </c>
      <c r="G400" s="41" t="s">
        <v>26</v>
      </c>
      <c r="H400" s="42"/>
    </row>
    <row r="401" spans="2:8" ht="18" customHeight="1" x14ac:dyDescent="0.25">
      <c r="B401" s="40">
        <f>SUBTOTAL(3,C$4:C401)</f>
        <v>375</v>
      </c>
      <c r="C401" s="41">
        <v>24339782</v>
      </c>
      <c r="D401" s="41" t="s">
        <v>482</v>
      </c>
      <c r="E401" s="41" t="s">
        <v>29</v>
      </c>
      <c r="F401" s="41" t="s">
        <v>144</v>
      </c>
      <c r="G401" s="41" t="s">
        <v>26</v>
      </c>
      <c r="H401" s="42"/>
    </row>
    <row r="402" spans="2:8" ht="18" customHeight="1" x14ac:dyDescent="0.25">
      <c r="B402" s="40">
        <f>SUBTOTAL(3,C$4:C402)</f>
        <v>376</v>
      </c>
      <c r="C402" s="41">
        <v>24037732</v>
      </c>
      <c r="D402" s="41" t="s">
        <v>495</v>
      </c>
      <c r="E402" s="41" t="s">
        <v>29</v>
      </c>
      <c r="F402" s="41" t="s">
        <v>144</v>
      </c>
      <c r="G402" s="41" t="s">
        <v>26</v>
      </c>
      <c r="H402" s="42"/>
    </row>
    <row r="403" spans="2:8" ht="18" customHeight="1" x14ac:dyDescent="0.25">
      <c r="B403" s="40">
        <f>SUBTOTAL(3,C$4:C403)</f>
        <v>377</v>
      </c>
      <c r="C403" s="41">
        <v>24022627</v>
      </c>
      <c r="D403" s="41" t="s">
        <v>506</v>
      </c>
      <c r="E403" s="41" t="s">
        <v>29</v>
      </c>
      <c r="F403" s="41" t="s">
        <v>144</v>
      </c>
      <c r="G403" s="41" t="s">
        <v>26</v>
      </c>
      <c r="H403" s="42"/>
    </row>
    <row r="404" spans="2:8" ht="18" customHeight="1" x14ac:dyDescent="0.25">
      <c r="B404" s="40">
        <f>SUBTOTAL(3,C$4:C404)</f>
        <v>378</v>
      </c>
      <c r="C404" s="41">
        <v>24373141</v>
      </c>
      <c r="D404" s="41" t="s">
        <v>540</v>
      </c>
      <c r="E404" s="41" t="s">
        <v>29</v>
      </c>
      <c r="F404" s="41" t="s">
        <v>144</v>
      </c>
      <c r="G404" s="41" t="s">
        <v>28</v>
      </c>
      <c r="H404" s="42"/>
    </row>
    <row r="405" spans="2:8" ht="18" customHeight="1" x14ac:dyDescent="0.25">
      <c r="B405" s="40">
        <f>SUBTOTAL(3,C$4:C405)</f>
        <v>379</v>
      </c>
      <c r="C405" s="41">
        <v>24036053</v>
      </c>
      <c r="D405" s="41" t="s">
        <v>581</v>
      </c>
      <c r="E405" s="41" t="s">
        <v>29</v>
      </c>
      <c r="F405" s="41" t="s">
        <v>144</v>
      </c>
      <c r="G405" s="41" t="s">
        <v>26</v>
      </c>
      <c r="H405" s="42"/>
    </row>
    <row r="406" spans="2:8" ht="18" customHeight="1" x14ac:dyDescent="0.25">
      <c r="B406" s="40">
        <f>SUBTOTAL(3,C$4:C406)</f>
        <v>380</v>
      </c>
      <c r="C406" s="41">
        <v>24089177</v>
      </c>
      <c r="D406" s="41" t="s">
        <v>604</v>
      </c>
      <c r="E406" s="41" t="s">
        <v>29</v>
      </c>
      <c r="F406" s="41" t="s">
        <v>144</v>
      </c>
      <c r="G406" s="41" t="s">
        <v>28</v>
      </c>
      <c r="H406" s="42"/>
    </row>
    <row r="407" spans="2:8" ht="18" customHeight="1" x14ac:dyDescent="0.25">
      <c r="B407" s="40">
        <f>SUBTOTAL(3,C$4:C407)</f>
        <v>381</v>
      </c>
      <c r="C407" s="41">
        <v>24331373</v>
      </c>
      <c r="D407" s="41" t="s">
        <v>615</v>
      </c>
      <c r="E407" s="41" t="s">
        <v>29</v>
      </c>
      <c r="F407" s="41" t="s">
        <v>144</v>
      </c>
      <c r="G407" s="41" t="s">
        <v>26</v>
      </c>
      <c r="H407" s="42"/>
    </row>
    <row r="408" spans="2:8" ht="18" customHeight="1" x14ac:dyDescent="0.25">
      <c r="B408" s="40">
        <f>SUBTOTAL(3,C$4:C408)</f>
        <v>382</v>
      </c>
      <c r="C408" s="41">
        <v>24032559</v>
      </c>
      <c r="D408" s="41" t="s">
        <v>616</v>
      </c>
      <c r="E408" s="41" t="s">
        <v>29</v>
      </c>
      <c r="F408" s="41" t="s">
        <v>144</v>
      </c>
      <c r="G408" s="41" t="s">
        <v>26</v>
      </c>
      <c r="H408" s="42"/>
    </row>
    <row r="409" spans="2:8" ht="18" customHeight="1" x14ac:dyDescent="0.25">
      <c r="B409" s="40">
        <f>SUBTOTAL(3,C$4:C409)</f>
        <v>383</v>
      </c>
      <c r="C409" s="41">
        <v>24031893</v>
      </c>
      <c r="D409" s="41" t="s">
        <v>636</v>
      </c>
      <c r="E409" s="41" t="s">
        <v>29</v>
      </c>
      <c r="F409" s="41" t="s">
        <v>144</v>
      </c>
      <c r="G409" s="41" t="s">
        <v>26</v>
      </c>
      <c r="H409" s="42"/>
    </row>
    <row r="410" spans="2:8" ht="18" customHeight="1" x14ac:dyDescent="0.25">
      <c r="B410" s="40">
        <f>SUBTOTAL(3,C$4:C410)</f>
        <v>384</v>
      </c>
      <c r="C410" s="41">
        <v>24023703</v>
      </c>
      <c r="D410" s="41" t="s">
        <v>651</v>
      </c>
      <c r="E410" s="41" t="s">
        <v>29</v>
      </c>
      <c r="F410" s="41" t="s">
        <v>144</v>
      </c>
      <c r="G410" s="41" t="s">
        <v>26</v>
      </c>
      <c r="H410" s="42" t="s">
        <v>74</v>
      </c>
    </row>
    <row r="411" spans="2:8" ht="18" customHeight="1" x14ac:dyDescent="0.25">
      <c r="B411" s="40">
        <f>SUBTOTAL(3,C$4:C411)</f>
        <v>385</v>
      </c>
      <c r="C411" s="41">
        <v>24022356</v>
      </c>
      <c r="D411" s="41" t="s">
        <v>666</v>
      </c>
      <c r="E411" s="41" t="s">
        <v>29</v>
      </c>
      <c r="F411" s="41" t="s">
        <v>144</v>
      </c>
      <c r="G411" s="41" t="s">
        <v>26</v>
      </c>
      <c r="H411" s="42"/>
    </row>
    <row r="412" spans="2:8" ht="18" customHeight="1" x14ac:dyDescent="0.25">
      <c r="B412" s="40">
        <f>SUBTOTAL(3,C$4:C412)</f>
        <v>386</v>
      </c>
      <c r="C412" s="41">
        <v>24120523</v>
      </c>
      <c r="D412" s="41" t="s">
        <v>690</v>
      </c>
      <c r="E412" s="41" t="s">
        <v>29</v>
      </c>
      <c r="F412" s="41" t="s">
        <v>144</v>
      </c>
      <c r="G412" s="41" t="s">
        <v>26</v>
      </c>
      <c r="H412" s="42" t="s">
        <v>287</v>
      </c>
    </row>
    <row r="413" spans="2:8" ht="18" customHeight="1" x14ac:dyDescent="0.25">
      <c r="B413" s="40">
        <f>SUBTOTAL(3,C$4:C413)</f>
        <v>387</v>
      </c>
      <c r="C413" s="41">
        <v>24019385</v>
      </c>
      <c r="D413" s="41" t="s">
        <v>726</v>
      </c>
      <c r="E413" s="41" t="s">
        <v>29</v>
      </c>
      <c r="F413" s="41" t="s">
        <v>144</v>
      </c>
      <c r="G413" s="41" t="s">
        <v>26</v>
      </c>
      <c r="H413" s="42"/>
    </row>
    <row r="414" spans="2:8" ht="18" customHeight="1" x14ac:dyDescent="0.25">
      <c r="B414" s="40">
        <f>SUBTOTAL(3,C$4:C414)</f>
        <v>388</v>
      </c>
      <c r="C414" s="41">
        <v>24243747</v>
      </c>
      <c r="D414" s="41" t="s">
        <v>749</v>
      </c>
      <c r="E414" s="41" t="s">
        <v>29</v>
      </c>
      <c r="F414" s="41" t="s">
        <v>144</v>
      </c>
      <c r="G414" s="41" t="s">
        <v>26</v>
      </c>
      <c r="H414" s="42" t="s">
        <v>287</v>
      </c>
    </row>
    <row r="415" spans="2:8" ht="18" customHeight="1" x14ac:dyDescent="0.25">
      <c r="B415" s="40">
        <f>SUBTOTAL(3,C$4:C415)</f>
        <v>389</v>
      </c>
      <c r="C415" s="41">
        <v>24178055</v>
      </c>
      <c r="D415" s="41" t="s">
        <v>774</v>
      </c>
      <c r="E415" s="41" t="s">
        <v>29</v>
      </c>
      <c r="F415" s="41" t="s">
        <v>144</v>
      </c>
      <c r="G415" s="41" t="s">
        <v>28</v>
      </c>
      <c r="H415" s="42"/>
    </row>
    <row r="416" spans="2:8" ht="18" customHeight="1" x14ac:dyDescent="0.25">
      <c r="B416" s="40">
        <f>SUBTOTAL(3,C$4:C416)</f>
        <v>390</v>
      </c>
      <c r="C416" s="41">
        <v>24020875</v>
      </c>
      <c r="D416" s="41" t="s">
        <v>791</v>
      </c>
      <c r="E416" s="41" t="s">
        <v>29</v>
      </c>
      <c r="F416" s="41" t="s">
        <v>144</v>
      </c>
      <c r="G416" s="41" t="s">
        <v>26</v>
      </c>
      <c r="H416" s="42"/>
    </row>
    <row r="417" spans="2:8" ht="18" customHeight="1" x14ac:dyDescent="0.25">
      <c r="B417" s="40">
        <f>SUBTOTAL(3,C$4:C417)</f>
        <v>391</v>
      </c>
      <c r="C417" s="41">
        <v>24031947</v>
      </c>
      <c r="D417" s="41" t="s">
        <v>792</v>
      </c>
      <c r="E417" s="41" t="s">
        <v>29</v>
      </c>
      <c r="F417" s="41" t="s">
        <v>144</v>
      </c>
      <c r="G417" s="41" t="s">
        <v>26</v>
      </c>
      <c r="H417" s="42" t="s">
        <v>74</v>
      </c>
    </row>
    <row r="418" spans="2:8" ht="18" customHeight="1" x14ac:dyDescent="0.25">
      <c r="B418" s="40">
        <f>SUBTOTAL(3,C$4:C418)</f>
        <v>392</v>
      </c>
      <c r="C418" s="41">
        <v>24029676</v>
      </c>
      <c r="D418" s="41" t="s">
        <v>853</v>
      </c>
      <c r="E418" s="41" t="s">
        <v>29</v>
      </c>
      <c r="F418" s="41" t="s">
        <v>144</v>
      </c>
      <c r="G418" s="41" t="s">
        <v>26</v>
      </c>
      <c r="H418" s="42"/>
    </row>
    <row r="419" spans="2:8" ht="18" customHeight="1" x14ac:dyDescent="0.25">
      <c r="B419" s="40">
        <f>SUBTOTAL(3,C$4:C419)</f>
        <v>393</v>
      </c>
      <c r="C419" s="41">
        <v>24261895</v>
      </c>
      <c r="D419" s="41" t="s">
        <v>161</v>
      </c>
      <c r="E419" s="41" t="s">
        <v>29</v>
      </c>
      <c r="F419" s="41" t="s">
        <v>162</v>
      </c>
      <c r="G419" s="41" t="s">
        <v>26</v>
      </c>
      <c r="H419" s="42"/>
    </row>
    <row r="420" spans="2:8" ht="18" customHeight="1" x14ac:dyDescent="0.25">
      <c r="B420" s="40">
        <f>SUBTOTAL(3,C$4:C420)</f>
        <v>394</v>
      </c>
      <c r="C420" s="41">
        <v>24026054</v>
      </c>
      <c r="D420" s="41" t="s">
        <v>262</v>
      </c>
      <c r="E420" s="41" t="s">
        <v>29</v>
      </c>
      <c r="F420" s="41" t="s">
        <v>162</v>
      </c>
      <c r="G420" s="41" t="s">
        <v>24</v>
      </c>
      <c r="H420" s="42"/>
    </row>
    <row r="421" spans="2:8" ht="18" customHeight="1" x14ac:dyDescent="0.25">
      <c r="B421" s="40">
        <f>SUBTOTAL(3,C$4:C421)</f>
        <v>395</v>
      </c>
      <c r="C421" s="41">
        <v>24025226</v>
      </c>
      <c r="D421" s="41" t="s">
        <v>269</v>
      </c>
      <c r="E421" s="41" t="s">
        <v>29</v>
      </c>
      <c r="F421" s="41" t="s">
        <v>162</v>
      </c>
      <c r="G421" s="41" t="s">
        <v>24</v>
      </c>
      <c r="H421" s="42" t="s">
        <v>270</v>
      </c>
    </row>
    <row r="422" spans="2:8" ht="18" customHeight="1" x14ac:dyDescent="0.25">
      <c r="B422" s="40">
        <f>SUBTOTAL(3,C$4:C422)</f>
        <v>396</v>
      </c>
      <c r="C422" s="41">
        <v>24090378</v>
      </c>
      <c r="D422" s="41" t="s">
        <v>383</v>
      </c>
      <c r="E422" s="41" t="s">
        <v>29</v>
      </c>
      <c r="F422" s="41" t="s">
        <v>162</v>
      </c>
      <c r="G422" s="41" t="s">
        <v>28</v>
      </c>
      <c r="H422" s="42"/>
    </row>
    <row r="423" spans="2:8" ht="18" customHeight="1" x14ac:dyDescent="0.25">
      <c r="B423" s="40">
        <f>SUBTOTAL(3,C$4:C423)</f>
        <v>397</v>
      </c>
      <c r="C423" s="41">
        <v>24280395</v>
      </c>
      <c r="D423" s="41" t="s">
        <v>409</v>
      </c>
      <c r="E423" s="41" t="s">
        <v>29</v>
      </c>
      <c r="F423" s="41" t="s">
        <v>162</v>
      </c>
      <c r="G423" s="41" t="s">
        <v>26</v>
      </c>
      <c r="H423" s="42"/>
    </row>
    <row r="424" spans="2:8" ht="18" customHeight="1" x14ac:dyDescent="0.25">
      <c r="B424" s="40">
        <f>SUBTOTAL(3,C$4:C424)</f>
        <v>398</v>
      </c>
      <c r="C424" s="41">
        <v>24030579</v>
      </c>
      <c r="D424" s="41" t="s">
        <v>688</v>
      </c>
      <c r="E424" s="41" t="s">
        <v>29</v>
      </c>
      <c r="F424" s="41" t="s">
        <v>162</v>
      </c>
      <c r="G424" s="41" t="s">
        <v>26</v>
      </c>
      <c r="H424" s="42" t="s">
        <v>201</v>
      </c>
    </row>
    <row r="425" spans="2:8" ht="18" customHeight="1" x14ac:dyDescent="0.25">
      <c r="B425" s="40">
        <f>SUBTOTAL(3,C$4:C425)</f>
        <v>399</v>
      </c>
      <c r="C425" s="41">
        <v>24019367</v>
      </c>
      <c r="D425" s="41" t="s">
        <v>833</v>
      </c>
      <c r="E425" s="41" t="s">
        <v>29</v>
      </c>
      <c r="F425" s="41" t="s">
        <v>162</v>
      </c>
      <c r="G425" s="41" t="s">
        <v>26</v>
      </c>
      <c r="H425" s="42" t="s">
        <v>270</v>
      </c>
    </row>
    <row r="426" spans="2:8" ht="18" customHeight="1" x14ac:dyDescent="0.25">
      <c r="B426" s="40">
        <f>SUBTOTAL(3,C$4:C426)</f>
        <v>400</v>
      </c>
      <c r="C426" s="41">
        <v>24278332</v>
      </c>
      <c r="D426" s="41" t="s">
        <v>843</v>
      </c>
      <c r="E426" s="41" t="s">
        <v>29</v>
      </c>
      <c r="F426" s="41" t="s">
        <v>162</v>
      </c>
      <c r="G426" s="41" t="s">
        <v>28</v>
      </c>
      <c r="H426" s="42"/>
    </row>
    <row r="427" spans="2:8" ht="18" customHeight="1" x14ac:dyDescent="0.25">
      <c r="B427" s="40">
        <f>SUBTOTAL(3,C$4:C427)</f>
        <v>401</v>
      </c>
      <c r="C427" s="41">
        <v>24030486</v>
      </c>
      <c r="D427" s="41" t="s">
        <v>96</v>
      </c>
      <c r="E427" s="41" t="s">
        <v>29</v>
      </c>
      <c r="F427" s="41" t="s">
        <v>97</v>
      </c>
      <c r="G427" s="41" t="s">
        <v>24</v>
      </c>
      <c r="H427" s="42"/>
    </row>
    <row r="428" spans="2:8" ht="18" customHeight="1" x14ac:dyDescent="0.25">
      <c r="B428" s="40">
        <f>SUBTOTAL(3,C$4:C428)</f>
        <v>402</v>
      </c>
      <c r="C428" s="41">
        <v>24026283</v>
      </c>
      <c r="D428" s="41" t="s">
        <v>135</v>
      </c>
      <c r="E428" s="41" t="s">
        <v>29</v>
      </c>
      <c r="F428" s="41" t="s">
        <v>97</v>
      </c>
      <c r="G428" s="41" t="s">
        <v>24</v>
      </c>
      <c r="H428" s="42" t="s">
        <v>80</v>
      </c>
    </row>
    <row r="429" spans="2:8" ht="18" customHeight="1" x14ac:dyDescent="0.25">
      <c r="B429" s="40">
        <f>SUBTOTAL(3,C$4:C429)</f>
        <v>403</v>
      </c>
      <c r="C429" s="41">
        <v>24036780</v>
      </c>
      <c r="D429" s="41" t="s">
        <v>139</v>
      </c>
      <c r="E429" s="41" t="s">
        <v>29</v>
      </c>
      <c r="F429" s="41" t="s">
        <v>97</v>
      </c>
      <c r="G429" s="41" t="s">
        <v>26</v>
      </c>
      <c r="H429" s="42" t="s">
        <v>80</v>
      </c>
    </row>
    <row r="430" spans="2:8" ht="18" customHeight="1" x14ac:dyDescent="0.25">
      <c r="B430" s="40">
        <f>SUBTOTAL(3,C$4:C430)</f>
        <v>404</v>
      </c>
      <c r="C430" s="41">
        <v>24019276</v>
      </c>
      <c r="D430" s="41" t="s">
        <v>389</v>
      </c>
      <c r="E430" s="41" t="s">
        <v>29</v>
      </c>
      <c r="F430" s="41" t="s">
        <v>97</v>
      </c>
      <c r="G430" s="41" t="s">
        <v>24</v>
      </c>
      <c r="H430" s="42"/>
    </row>
    <row r="431" spans="2:8" ht="18" customHeight="1" x14ac:dyDescent="0.25">
      <c r="B431" s="40">
        <f>SUBTOTAL(3,C$4:C431)</f>
        <v>405</v>
      </c>
      <c r="C431" s="41">
        <v>24107852</v>
      </c>
      <c r="D431" s="41" t="s">
        <v>396</v>
      </c>
      <c r="E431" s="41" t="s">
        <v>29</v>
      </c>
      <c r="F431" s="41" t="s">
        <v>97</v>
      </c>
      <c r="G431" s="41" t="s">
        <v>28</v>
      </c>
      <c r="H431" s="42" t="s">
        <v>80</v>
      </c>
    </row>
    <row r="432" spans="2:8" ht="18" customHeight="1" x14ac:dyDescent="0.25">
      <c r="B432" s="40">
        <f>SUBTOTAL(3,C$4:C432)</f>
        <v>406</v>
      </c>
      <c r="C432" s="41">
        <v>24031839</v>
      </c>
      <c r="D432" s="41" t="s">
        <v>428</v>
      </c>
      <c r="E432" s="41" t="s">
        <v>29</v>
      </c>
      <c r="F432" s="41" t="s">
        <v>97</v>
      </c>
      <c r="G432" s="41" t="s">
        <v>24</v>
      </c>
      <c r="H432" s="42"/>
    </row>
    <row r="433" spans="2:8" ht="18" customHeight="1" x14ac:dyDescent="0.25">
      <c r="B433" s="40">
        <f>SUBTOTAL(3,C$4:C433)</f>
        <v>407</v>
      </c>
      <c r="C433" s="41">
        <v>24025178</v>
      </c>
      <c r="D433" s="41" t="s">
        <v>461</v>
      </c>
      <c r="E433" s="41" t="s">
        <v>29</v>
      </c>
      <c r="F433" s="41" t="s">
        <v>97</v>
      </c>
      <c r="G433" s="41" t="s">
        <v>26</v>
      </c>
      <c r="H433" s="42"/>
    </row>
    <row r="434" spans="2:8" ht="18" hidden="1" customHeight="1" x14ac:dyDescent="0.25">
      <c r="B434" s="40">
        <f>SUBTOTAL(3,C$4:C434)</f>
        <v>407</v>
      </c>
      <c r="C434" s="41">
        <v>24089103</v>
      </c>
      <c r="D434" s="41" t="s">
        <v>789</v>
      </c>
      <c r="E434" s="41" t="s">
        <v>29</v>
      </c>
      <c r="F434" s="41" t="s">
        <v>790</v>
      </c>
      <c r="G434" s="41" t="s">
        <v>27</v>
      </c>
      <c r="H434" s="42"/>
    </row>
    <row r="435" spans="2:8" ht="18" customHeight="1" x14ac:dyDescent="0.25">
      <c r="B435" s="40">
        <f>SUBTOTAL(3,C$4:C435)</f>
        <v>408</v>
      </c>
      <c r="C435" s="41">
        <v>24255784</v>
      </c>
      <c r="D435" s="41" t="s">
        <v>68</v>
      </c>
      <c r="E435" s="41" t="s">
        <v>29</v>
      </c>
      <c r="F435" s="41" t="s">
        <v>69</v>
      </c>
      <c r="G435" s="41" t="s">
        <v>26</v>
      </c>
      <c r="H435" s="42"/>
    </row>
    <row r="436" spans="2:8" ht="18" customHeight="1" x14ac:dyDescent="0.25">
      <c r="B436" s="40">
        <f>SUBTOTAL(3,C$4:C436)</f>
        <v>409</v>
      </c>
      <c r="C436" s="41">
        <v>24168694</v>
      </c>
      <c r="D436" s="41" t="s">
        <v>196</v>
      </c>
      <c r="E436" s="41" t="s">
        <v>29</v>
      </c>
      <c r="F436" s="41" t="s">
        <v>69</v>
      </c>
      <c r="G436" s="41" t="s">
        <v>26</v>
      </c>
      <c r="H436" s="42"/>
    </row>
    <row r="437" spans="2:8" ht="18" customHeight="1" x14ac:dyDescent="0.25">
      <c r="B437" s="40">
        <f>SUBTOTAL(3,C$4:C437)</f>
        <v>410</v>
      </c>
      <c r="C437" s="41">
        <v>24026702</v>
      </c>
      <c r="D437" s="41" t="s">
        <v>246</v>
      </c>
      <c r="E437" s="41" t="s">
        <v>29</v>
      </c>
      <c r="F437" s="41" t="s">
        <v>69</v>
      </c>
      <c r="G437" s="41" t="s">
        <v>26</v>
      </c>
      <c r="H437" s="42"/>
    </row>
    <row r="438" spans="2:8" ht="18" customHeight="1" x14ac:dyDescent="0.25">
      <c r="B438" s="40">
        <f>SUBTOTAL(3,C$4:C438)</f>
        <v>411</v>
      </c>
      <c r="C438" s="41">
        <v>24022655</v>
      </c>
      <c r="D438" s="41" t="s">
        <v>249</v>
      </c>
      <c r="E438" s="41" t="s">
        <v>29</v>
      </c>
      <c r="F438" s="41" t="s">
        <v>69</v>
      </c>
      <c r="G438" s="41" t="s">
        <v>26</v>
      </c>
      <c r="H438" s="42"/>
    </row>
    <row r="439" spans="2:8" ht="18" customHeight="1" x14ac:dyDescent="0.25">
      <c r="B439" s="40">
        <f>SUBTOTAL(3,C$4:C439)</f>
        <v>412</v>
      </c>
      <c r="C439" s="41">
        <v>24237120</v>
      </c>
      <c r="D439" s="41" t="s">
        <v>275</v>
      </c>
      <c r="E439" s="41" t="s">
        <v>29</v>
      </c>
      <c r="F439" s="41" t="s">
        <v>69</v>
      </c>
      <c r="G439" s="41" t="s">
        <v>26</v>
      </c>
      <c r="H439" s="42"/>
    </row>
    <row r="440" spans="2:8" ht="18" customHeight="1" x14ac:dyDescent="0.25">
      <c r="B440" s="40">
        <f>SUBTOTAL(3,C$4:C440)</f>
        <v>413</v>
      </c>
      <c r="C440" s="41">
        <v>24243819</v>
      </c>
      <c r="D440" s="41" t="s">
        <v>285</v>
      </c>
      <c r="E440" s="41" t="s">
        <v>29</v>
      </c>
      <c r="F440" s="41" t="s">
        <v>69</v>
      </c>
      <c r="G440" s="41" t="s">
        <v>26</v>
      </c>
      <c r="H440" s="42"/>
    </row>
    <row r="441" spans="2:8" ht="18" customHeight="1" x14ac:dyDescent="0.25">
      <c r="B441" s="40">
        <f>SUBTOTAL(3,C$4:C441)</f>
        <v>414</v>
      </c>
      <c r="C441" s="41">
        <v>24243599</v>
      </c>
      <c r="D441" s="41" t="s">
        <v>312</v>
      </c>
      <c r="E441" s="41" t="s">
        <v>29</v>
      </c>
      <c r="F441" s="41" t="s">
        <v>69</v>
      </c>
      <c r="G441" s="41" t="s">
        <v>26</v>
      </c>
      <c r="H441" s="42" t="s">
        <v>74</v>
      </c>
    </row>
    <row r="442" spans="2:8" ht="18" customHeight="1" x14ac:dyDescent="0.25">
      <c r="B442" s="40">
        <f>SUBTOTAL(3,C$4:C442)</f>
        <v>415</v>
      </c>
      <c r="C442" s="41">
        <v>24020618</v>
      </c>
      <c r="D442" s="41" t="s">
        <v>331</v>
      </c>
      <c r="E442" s="41" t="s">
        <v>29</v>
      </c>
      <c r="F442" s="41" t="s">
        <v>69</v>
      </c>
      <c r="G442" s="41" t="s">
        <v>26</v>
      </c>
      <c r="H442" s="42"/>
    </row>
    <row r="443" spans="2:8" ht="18" customHeight="1" x14ac:dyDescent="0.25">
      <c r="B443" s="40">
        <f>SUBTOTAL(3,C$4:C443)</f>
        <v>416</v>
      </c>
      <c r="C443" s="41">
        <v>24030103</v>
      </c>
      <c r="D443" s="41" t="s">
        <v>354</v>
      </c>
      <c r="E443" s="41" t="s">
        <v>29</v>
      </c>
      <c r="F443" s="41" t="s">
        <v>69</v>
      </c>
      <c r="G443" s="41" t="s">
        <v>26</v>
      </c>
      <c r="H443" s="42"/>
    </row>
    <row r="444" spans="2:8" ht="18" customHeight="1" x14ac:dyDescent="0.25">
      <c r="B444" s="40">
        <f>SUBTOTAL(3,C$4:C444)</f>
        <v>417</v>
      </c>
      <c r="C444" s="41">
        <v>24027137</v>
      </c>
      <c r="D444" s="41" t="s">
        <v>374</v>
      </c>
      <c r="E444" s="41" t="s">
        <v>29</v>
      </c>
      <c r="F444" s="41" t="s">
        <v>69</v>
      </c>
      <c r="G444" s="41" t="s">
        <v>26</v>
      </c>
      <c r="H444" s="42"/>
    </row>
    <row r="445" spans="2:8" ht="18" customHeight="1" x14ac:dyDescent="0.25">
      <c r="B445" s="40">
        <f>SUBTOTAL(3,C$4:C445)</f>
        <v>418</v>
      </c>
      <c r="C445" s="41">
        <v>24024323</v>
      </c>
      <c r="D445" s="41" t="s">
        <v>392</v>
      </c>
      <c r="E445" s="41" t="s">
        <v>29</v>
      </c>
      <c r="F445" s="41" t="s">
        <v>69</v>
      </c>
      <c r="G445" s="41" t="s">
        <v>26</v>
      </c>
      <c r="H445" s="42"/>
    </row>
    <row r="446" spans="2:8" ht="18" customHeight="1" x14ac:dyDescent="0.25">
      <c r="B446" s="40">
        <f>SUBTOTAL(3,C$4:C446)</f>
        <v>419</v>
      </c>
      <c r="C446" s="41">
        <v>24022595</v>
      </c>
      <c r="D446" s="41" t="s">
        <v>416</v>
      </c>
      <c r="E446" s="41" t="s">
        <v>29</v>
      </c>
      <c r="F446" s="41" t="s">
        <v>69</v>
      </c>
      <c r="G446" s="41" t="s">
        <v>26</v>
      </c>
      <c r="H446" s="42"/>
    </row>
    <row r="447" spans="2:8" ht="18" customHeight="1" x14ac:dyDescent="0.25">
      <c r="B447" s="40">
        <f>SUBTOTAL(3,C$4:C447)</f>
        <v>420</v>
      </c>
      <c r="C447" s="41">
        <v>24040006</v>
      </c>
      <c r="D447" s="41" t="s">
        <v>423</v>
      </c>
      <c r="E447" s="41" t="s">
        <v>29</v>
      </c>
      <c r="F447" s="41" t="s">
        <v>69</v>
      </c>
      <c r="G447" s="41" t="s">
        <v>26</v>
      </c>
      <c r="H447" s="42"/>
    </row>
    <row r="448" spans="2:8" ht="18" customHeight="1" x14ac:dyDescent="0.25">
      <c r="B448" s="40">
        <f>SUBTOTAL(3,C$4:C448)</f>
        <v>421</v>
      </c>
      <c r="C448" s="41">
        <v>24031212</v>
      </c>
      <c r="D448" s="41" t="s">
        <v>444</v>
      </c>
      <c r="E448" s="41" t="s">
        <v>29</v>
      </c>
      <c r="F448" s="41" t="s">
        <v>69</v>
      </c>
      <c r="G448" s="41" t="s">
        <v>26</v>
      </c>
      <c r="H448" s="42"/>
    </row>
    <row r="449" spans="2:8" ht="18" customHeight="1" x14ac:dyDescent="0.25">
      <c r="B449" s="40">
        <f>SUBTOTAL(3,C$4:C449)</f>
        <v>422</v>
      </c>
      <c r="C449" s="41">
        <v>24052067</v>
      </c>
      <c r="D449" s="41" t="s">
        <v>486</v>
      </c>
      <c r="E449" s="41" t="s">
        <v>29</v>
      </c>
      <c r="F449" s="41" t="s">
        <v>69</v>
      </c>
      <c r="G449" s="41" t="s">
        <v>26</v>
      </c>
      <c r="H449" s="42" t="s">
        <v>386</v>
      </c>
    </row>
    <row r="450" spans="2:8" ht="18" customHeight="1" x14ac:dyDescent="0.25">
      <c r="B450" s="40">
        <f>SUBTOTAL(3,C$4:C450)</f>
        <v>423</v>
      </c>
      <c r="C450" s="41">
        <v>24022763</v>
      </c>
      <c r="D450" s="41" t="s">
        <v>527</v>
      </c>
      <c r="E450" s="41" t="s">
        <v>29</v>
      </c>
      <c r="F450" s="41" t="s">
        <v>69</v>
      </c>
      <c r="G450" s="41" t="s">
        <v>26</v>
      </c>
      <c r="H450" s="42"/>
    </row>
    <row r="451" spans="2:8" ht="18" customHeight="1" x14ac:dyDescent="0.25">
      <c r="B451" s="40">
        <f>SUBTOTAL(3,C$4:C451)</f>
        <v>424</v>
      </c>
      <c r="C451" s="41">
        <v>24280429</v>
      </c>
      <c r="D451" s="41" t="s">
        <v>602</v>
      </c>
      <c r="E451" s="41" t="s">
        <v>29</v>
      </c>
      <c r="F451" s="41" t="s">
        <v>69</v>
      </c>
      <c r="G451" s="41" t="s">
        <v>26</v>
      </c>
      <c r="H451" s="42"/>
    </row>
    <row r="452" spans="2:8" ht="18" customHeight="1" x14ac:dyDescent="0.25">
      <c r="B452" s="40">
        <f>SUBTOTAL(3,C$4:C452)</f>
        <v>425</v>
      </c>
      <c r="C452" s="41">
        <v>24030577</v>
      </c>
      <c r="D452" s="41" t="s">
        <v>607</v>
      </c>
      <c r="E452" s="41" t="s">
        <v>29</v>
      </c>
      <c r="F452" s="41" t="s">
        <v>69</v>
      </c>
      <c r="G452" s="41" t="s">
        <v>26</v>
      </c>
      <c r="H452" s="42"/>
    </row>
    <row r="453" spans="2:8" ht="18" customHeight="1" x14ac:dyDescent="0.25">
      <c r="B453" s="40">
        <f>SUBTOTAL(3,C$4:C453)</f>
        <v>426</v>
      </c>
      <c r="C453" s="41">
        <v>24030118</v>
      </c>
      <c r="D453" s="41" t="s">
        <v>626</v>
      </c>
      <c r="E453" s="41" t="s">
        <v>29</v>
      </c>
      <c r="F453" s="41" t="s">
        <v>69</v>
      </c>
      <c r="G453" s="41" t="s">
        <v>26</v>
      </c>
      <c r="H453" s="42"/>
    </row>
    <row r="454" spans="2:8" ht="18" customHeight="1" x14ac:dyDescent="0.25">
      <c r="B454" s="40">
        <f>SUBTOTAL(3,C$4:C454)</f>
        <v>427</v>
      </c>
      <c r="C454" s="41">
        <v>24030077</v>
      </c>
      <c r="D454" s="41" t="s">
        <v>641</v>
      </c>
      <c r="E454" s="41" t="s">
        <v>29</v>
      </c>
      <c r="F454" s="41" t="s">
        <v>69</v>
      </c>
      <c r="G454" s="41" t="s">
        <v>26</v>
      </c>
      <c r="H454" s="42"/>
    </row>
    <row r="455" spans="2:8" ht="18" customHeight="1" x14ac:dyDescent="0.25">
      <c r="B455" s="40">
        <f>SUBTOTAL(3,C$4:C455)</f>
        <v>428</v>
      </c>
      <c r="C455" s="41">
        <v>24294310</v>
      </c>
      <c r="D455" s="41" t="s">
        <v>650</v>
      </c>
      <c r="E455" s="41" t="s">
        <v>29</v>
      </c>
      <c r="F455" s="41" t="s">
        <v>69</v>
      </c>
      <c r="G455" s="41" t="s">
        <v>26</v>
      </c>
      <c r="H455" s="42"/>
    </row>
    <row r="456" spans="2:8" ht="18" customHeight="1" x14ac:dyDescent="0.25">
      <c r="B456" s="40">
        <f>SUBTOTAL(3,C$4:C456)</f>
        <v>429</v>
      </c>
      <c r="C456" s="41">
        <v>24030236</v>
      </c>
      <c r="D456" s="41" t="s">
        <v>661</v>
      </c>
      <c r="E456" s="41" t="s">
        <v>29</v>
      </c>
      <c r="F456" s="41" t="s">
        <v>69</v>
      </c>
      <c r="G456" s="41" t="s">
        <v>26</v>
      </c>
      <c r="H456" s="42"/>
    </row>
    <row r="457" spans="2:8" ht="18" customHeight="1" x14ac:dyDescent="0.25">
      <c r="B457" s="40">
        <f>SUBTOTAL(3,C$4:C457)</f>
        <v>430</v>
      </c>
      <c r="C457" s="41">
        <v>24249593</v>
      </c>
      <c r="D457" s="41" t="s">
        <v>669</v>
      </c>
      <c r="E457" s="41" t="s">
        <v>29</v>
      </c>
      <c r="F457" s="41" t="s">
        <v>69</v>
      </c>
      <c r="G457" s="41" t="s">
        <v>26</v>
      </c>
      <c r="H457" s="42"/>
    </row>
    <row r="458" spans="2:8" ht="18" customHeight="1" x14ac:dyDescent="0.25">
      <c r="B458" s="40">
        <f>SUBTOTAL(3,C$4:C458)</f>
        <v>431</v>
      </c>
      <c r="C458" s="41">
        <v>24232033</v>
      </c>
      <c r="D458" s="41" t="s">
        <v>753</v>
      </c>
      <c r="E458" s="41" t="s">
        <v>29</v>
      </c>
      <c r="F458" s="41" t="s">
        <v>69</v>
      </c>
      <c r="G458" s="41" t="s">
        <v>26</v>
      </c>
      <c r="H458" s="42"/>
    </row>
    <row r="459" spans="2:8" ht="18" customHeight="1" x14ac:dyDescent="0.25">
      <c r="B459" s="40">
        <f>SUBTOTAL(3,C$4:C459)</f>
        <v>432</v>
      </c>
      <c r="C459" s="41">
        <v>24032821</v>
      </c>
      <c r="D459" s="41" t="s">
        <v>779</v>
      </c>
      <c r="E459" s="41" t="s">
        <v>29</v>
      </c>
      <c r="F459" s="41" t="s">
        <v>69</v>
      </c>
      <c r="G459" s="41" t="s">
        <v>26</v>
      </c>
      <c r="H459" s="42"/>
    </row>
    <row r="460" spans="2:8" ht="18" customHeight="1" x14ac:dyDescent="0.25">
      <c r="B460" s="40">
        <f>SUBTOTAL(3,C$4:C460)</f>
        <v>433</v>
      </c>
      <c r="C460" s="41">
        <v>24037918</v>
      </c>
      <c r="D460" s="41" t="s">
        <v>797</v>
      </c>
      <c r="E460" s="41" t="s">
        <v>29</v>
      </c>
      <c r="F460" s="41" t="s">
        <v>69</v>
      </c>
      <c r="G460" s="41" t="s">
        <v>26</v>
      </c>
      <c r="H460" s="42"/>
    </row>
    <row r="461" spans="2:8" ht="18" customHeight="1" x14ac:dyDescent="0.25">
      <c r="B461" s="40">
        <f>SUBTOTAL(3,C$4:C461)</f>
        <v>434</v>
      </c>
      <c r="C461" s="41">
        <v>24022438</v>
      </c>
      <c r="D461" s="41" t="s">
        <v>842</v>
      </c>
      <c r="E461" s="41" t="s">
        <v>29</v>
      </c>
      <c r="F461" s="41" t="s">
        <v>69</v>
      </c>
      <c r="G461" s="41" t="s">
        <v>26</v>
      </c>
      <c r="H461" s="42"/>
    </row>
    <row r="462" spans="2:8" ht="18" customHeight="1" x14ac:dyDescent="0.25">
      <c r="B462" s="40">
        <f>SUBTOTAL(3,C$4:C462)</f>
        <v>435</v>
      </c>
      <c r="C462" s="41">
        <v>24026262</v>
      </c>
      <c r="D462" s="41" t="s">
        <v>854</v>
      </c>
      <c r="E462" s="41" t="s">
        <v>29</v>
      </c>
      <c r="F462" s="41" t="s">
        <v>69</v>
      </c>
      <c r="G462" s="41" t="s">
        <v>26</v>
      </c>
      <c r="H462" s="42"/>
    </row>
    <row r="463" spans="2:8" ht="18" customHeight="1" x14ac:dyDescent="0.25">
      <c r="B463" s="40">
        <f>SUBTOTAL(3,C$4:C463)</f>
        <v>436</v>
      </c>
      <c r="C463" s="41">
        <v>24331420</v>
      </c>
      <c r="D463" s="41" t="s">
        <v>856</v>
      </c>
      <c r="E463" s="41" t="s">
        <v>29</v>
      </c>
      <c r="F463" s="41" t="s">
        <v>69</v>
      </c>
      <c r="G463" s="41" t="s">
        <v>26</v>
      </c>
      <c r="H463" s="42"/>
    </row>
    <row r="464" spans="2:8" ht="18" customHeight="1" x14ac:dyDescent="0.25">
      <c r="B464" s="40">
        <f>SUBTOTAL(3,C$4:C464)</f>
        <v>437</v>
      </c>
      <c r="C464" s="41">
        <v>24028055</v>
      </c>
      <c r="D464" s="41" t="s">
        <v>873</v>
      </c>
      <c r="E464" s="41" t="s">
        <v>29</v>
      </c>
      <c r="F464" s="41" t="s">
        <v>69</v>
      </c>
      <c r="G464" s="41" t="s">
        <v>26</v>
      </c>
      <c r="H464" s="42"/>
    </row>
    <row r="465" spans="2:8" ht="18" customHeight="1" x14ac:dyDescent="0.25">
      <c r="B465" s="40">
        <f>SUBTOTAL(3,C$4:C465)</f>
        <v>438</v>
      </c>
      <c r="C465" s="41">
        <v>24032739</v>
      </c>
      <c r="D465" s="41" t="s">
        <v>149</v>
      </c>
      <c r="E465" s="41" t="s">
        <v>29</v>
      </c>
      <c r="F465" s="41" t="s">
        <v>150</v>
      </c>
      <c r="G465" s="41" t="s">
        <v>26</v>
      </c>
      <c r="H465" s="42"/>
    </row>
    <row r="466" spans="2:8" ht="18" customHeight="1" x14ac:dyDescent="0.25">
      <c r="B466" s="40">
        <f>SUBTOTAL(3,C$4:C466)</f>
        <v>439</v>
      </c>
      <c r="C466" s="41">
        <v>24027123</v>
      </c>
      <c r="D466" s="41" t="s">
        <v>180</v>
      </c>
      <c r="E466" s="41" t="s">
        <v>29</v>
      </c>
      <c r="F466" s="41" t="s">
        <v>150</v>
      </c>
      <c r="G466" s="41" t="s">
        <v>24</v>
      </c>
      <c r="H466" s="42"/>
    </row>
    <row r="467" spans="2:8" ht="18" customHeight="1" x14ac:dyDescent="0.25">
      <c r="B467" s="40">
        <f>SUBTOTAL(3,C$4:C467)</f>
        <v>440</v>
      </c>
      <c r="C467" s="41">
        <v>24249532</v>
      </c>
      <c r="D467" s="41" t="s">
        <v>181</v>
      </c>
      <c r="E467" s="41" t="s">
        <v>29</v>
      </c>
      <c r="F467" s="41" t="s">
        <v>150</v>
      </c>
      <c r="G467" s="41" t="s">
        <v>26</v>
      </c>
      <c r="H467" s="42"/>
    </row>
    <row r="468" spans="2:8" ht="18" customHeight="1" x14ac:dyDescent="0.25">
      <c r="B468" s="40">
        <f>SUBTOTAL(3,C$4:C468)</f>
        <v>441</v>
      </c>
      <c r="C468" s="41">
        <v>24121983</v>
      </c>
      <c r="D468" s="41" t="s">
        <v>218</v>
      </c>
      <c r="E468" s="41" t="s">
        <v>29</v>
      </c>
      <c r="F468" s="41" t="s">
        <v>150</v>
      </c>
      <c r="G468" s="41" t="s">
        <v>26</v>
      </c>
      <c r="H468" s="42"/>
    </row>
    <row r="469" spans="2:8" ht="18" customHeight="1" x14ac:dyDescent="0.25">
      <c r="B469" s="40">
        <f>SUBTOTAL(3,C$4:C469)</f>
        <v>442</v>
      </c>
      <c r="C469" s="41">
        <v>24023999</v>
      </c>
      <c r="D469" s="41" t="s">
        <v>225</v>
      </c>
      <c r="E469" s="41" t="s">
        <v>29</v>
      </c>
      <c r="F469" s="41" t="s">
        <v>150</v>
      </c>
      <c r="G469" s="41" t="s">
        <v>26</v>
      </c>
      <c r="H469" s="42"/>
    </row>
    <row r="470" spans="2:8" ht="18" customHeight="1" x14ac:dyDescent="0.25">
      <c r="B470" s="40">
        <f>SUBTOTAL(3,C$4:C470)</f>
        <v>443</v>
      </c>
      <c r="C470" s="41">
        <v>24030327</v>
      </c>
      <c r="D470" s="41" t="s">
        <v>240</v>
      </c>
      <c r="E470" s="41" t="s">
        <v>29</v>
      </c>
      <c r="F470" s="41" t="s">
        <v>150</v>
      </c>
      <c r="G470" s="41" t="s">
        <v>26</v>
      </c>
      <c r="H470" s="42"/>
    </row>
    <row r="471" spans="2:8" ht="18" customHeight="1" x14ac:dyDescent="0.25">
      <c r="B471" s="40">
        <f>SUBTOTAL(3,C$4:C471)</f>
        <v>444</v>
      </c>
      <c r="C471" s="41">
        <v>24339618</v>
      </c>
      <c r="D471" s="41" t="s">
        <v>271</v>
      </c>
      <c r="E471" s="41" t="s">
        <v>29</v>
      </c>
      <c r="F471" s="41" t="s">
        <v>150</v>
      </c>
      <c r="G471" s="41" t="s">
        <v>26</v>
      </c>
      <c r="H471" s="42"/>
    </row>
    <row r="472" spans="2:8" ht="18" customHeight="1" x14ac:dyDescent="0.25">
      <c r="B472" s="40">
        <f>SUBTOTAL(3,C$4:C472)</f>
        <v>445</v>
      </c>
      <c r="C472" s="41">
        <v>24036118</v>
      </c>
      <c r="D472" s="41" t="s">
        <v>323</v>
      </c>
      <c r="E472" s="41" t="s">
        <v>29</v>
      </c>
      <c r="F472" s="41" t="s">
        <v>150</v>
      </c>
      <c r="G472" s="41" t="s">
        <v>26</v>
      </c>
      <c r="H472" s="42"/>
    </row>
    <row r="473" spans="2:8" ht="18" customHeight="1" x14ac:dyDescent="0.25">
      <c r="B473" s="40">
        <f>SUBTOTAL(3,C$4:C473)</f>
        <v>446</v>
      </c>
      <c r="C473" s="41">
        <v>24259976</v>
      </c>
      <c r="D473" s="41" t="s">
        <v>335</v>
      </c>
      <c r="E473" s="41" t="s">
        <v>29</v>
      </c>
      <c r="F473" s="41" t="s">
        <v>150</v>
      </c>
      <c r="G473" s="41" t="s">
        <v>28</v>
      </c>
      <c r="H473" s="42" t="s">
        <v>201</v>
      </c>
    </row>
    <row r="474" spans="2:8" ht="18" customHeight="1" x14ac:dyDescent="0.25">
      <c r="B474" s="40">
        <f>SUBTOTAL(3,C$4:C474)</f>
        <v>447</v>
      </c>
      <c r="C474" s="41">
        <v>24373030</v>
      </c>
      <c r="D474" s="41" t="s">
        <v>343</v>
      </c>
      <c r="E474" s="41" t="s">
        <v>29</v>
      </c>
      <c r="F474" s="41" t="s">
        <v>150</v>
      </c>
      <c r="G474" s="41" t="s">
        <v>28</v>
      </c>
      <c r="H474" s="42"/>
    </row>
    <row r="475" spans="2:8" ht="18" customHeight="1" x14ac:dyDescent="0.25">
      <c r="B475" s="40">
        <f>SUBTOTAL(3,C$4:C475)</f>
        <v>448</v>
      </c>
      <c r="C475" s="41">
        <v>24243449</v>
      </c>
      <c r="D475" s="41" t="s">
        <v>344</v>
      </c>
      <c r="E475" s="41" t="s">
        <v>29</v>
      </c>
      <c r="F475" s="41" t="s">
        <v>150</v>
      </c>
      <c r="G475" s="41" t="s">
        <v>26</v>
      </c>
      <c r="H475" s="42" t="s">
        <v>201</v>
      </c>
    </row>
    <row r="476" spans="2:8" ht="18" customHeight="1" x14ac:dyDescent="0.25">
      <c r="B476" s="40">
        <f>SUBTOTAL(3,C$4:C476)</f>
        <v>449</v>
      </c>
      <c r="C476" s="41">
        <v>24278565</v>
      </c>
      <c r="D476" s="41" t="s">
        <v>484</v>
      </c>
      <c r="E476" s="41" t="s">
        <v>29</v>
      </c>
      <c r="F476" s="41" t="s">
        <v>150</v>
      </c>
      <c r="G476" s="41" t="s">
        <v>28</v>
      </c>
      <c r="H476" s="42"/>
    </row>
    <row r="477" spans="2:8" ht="18" customHeight="1" x14ac:dyDescent="0.25">
      <c r="B477" s="40">
        <f>SUBTOTAL(3,C$4:C477)</f>
        <v>450</v>
      </c>
      <c r="C477" s="41">
        <v>24026923</v>
      </c>
      <c r="D477" s="41" t="s">
        <v>524</v>
      </c>
      <c r="E477" s="41" t="s">
        <v>29</v>
      </c>
      <c r="F477" s="41" t="s">
        <v>150</v>
      </c>
      <c r="G477" s="41" t="s">
        <v>26</v>
      </c>
      <c r="H477" s="42"/>
    </row>
    <row r="478" spans="2:8" ht="18" customHeight="1" x14ac:dyDescent="0.25">
      <c r="B478" s="40">
        <f>SUBTOTAL(3,C$4:C478)</f>
        <v>451</v>
      </c>
      <c r="C478" s="41">
        <v>24023287</v>
      </c>
      <c r="D478" s="41" t="s">
        <v>549</v>
      </c>
      <c r="E478" s="41" t="s">
        <v>29</v>
      </c>
      <c r="F478" s="41" t="s">
        <v>150</v>
      </c>
      <c r="G478" s="41" t="s">
        <v>26</v>
      </c>
      <c r="H478" s="42"/>
    </row>
    <row r="479" spans="2:8" ht="18" customHeight="1" x14ac:dyDescent="0.25">
      <c r="B479" s="40">
        <f>SUBTOTAL(3,C$4:C479)</f>
        <v>452</v>
      </c>
      <c r="C479" s="41">
        <v>24028995</v>
      </c>
      <c r="D479" s="41" t="s">
        <v>560</v>
      </c>
      <c r="E479" s="41" t="s">
        <v>29</v>
      </c>
      <c r="F479" s="41" t="s">
        <v>150</v>
      </c>
      <c r="G479" s="41" t="s">
        <v>26</v>
      </c>
      <c r="H479" s="42"/>
    </row>
    <row r="480" spans="2:8" ht="18" customHeight="1" x14ac:dyDescent="0.25">
      <c r="B480" s="40">
        <f>SUBTOTAL(3,C$4:C480)</f>
        <v>453</v>
      </c>
      <c r="C480" s="41">
        <v>24029648</v>
      </c>
      <c r="D480" s="41" t="s">
        <v>562</v>
      </c>
      <c r="E480" s="41" t="s">
        <v>29</v>
      </c>
      <c r="F480" s="41" t="s">
        <v>150</v>
      </c>
      <c r="G480" s="41" t="s">
        <v>26</v>
      </c>
      <c r="H480" s="42" t="s">
        <v>287</v>
      </c>
    </row>
    <row r="481" spans="2:8" ht="18" customHeight="1" x14ac:dyDescent="0.25">
      <c r="B481" s="40">
        <f>SUBTOTAL(3,C$4:C481)</f>
        <v>454</v>
      </c>
      <c r="C481" s="41">
        <v>24090711</v>
      </c>
      <c r="D481" s="41" t="s">
        <v>600</v>
      </c>
      <c r="E481" s="41" t="s">
        <v>29</v>
      </c>
      <c r="F481" s="41" t="s">
        <v>150</v>
      </c>
      <c r="G481" s="41" t="s">
        <v>28</v>
      </c>
      <c r="H481" s="42"/>
    </row>
    <row r="482" spans="2:8" ht="18" customHeight="1" x14ac:dyDescent="0.25">
      <c r="B482" s="40">
        <f>SUBTOTAL(3,C$4:C482)</f>
        <v>455</v>
      </c>
      <c r="C482" s="41">
        <v>24225971</v>
      </c>
      <c r="D482" s="41" t="s">
        <v>634</v>
      </c>
      <c r="E482" s="41" t="s">
        <v>29</v>
      </c>
      <c r="F482" s="41" t="s">
        <v>150</v>
      </c>
      <c r="G482" s="41" t="s">
        <v>26</v>
      </c>
      <c r="H482" s="42" t="s">
        <v>287</v>
      </c>
    </row>
    <row r="483" spans="2:8" ht="18" customHeight="1" x14ac:dyDescent="0.25">
      <c r="B483" s="40">
        <f>SUBTOTAL(3,C$4:C483)</f>
        <v>456</v>
      </c>
      <c r="C483" s="41">
        <v>24031575</v>
      </c>
      <c r="D483" s="41" t="s">
        <v>660</v>
      </c>
      <c r="E483" s="41" t="s">
        <v>29</v>
      </c>
      <c r="F483" s="41" t="s">
        <v>150</v>
      </c>
      <c r="G483" s="41" t="s">
        <v>26</v>
      </c>
      <c r="H483" s="42"/>
    </row>
    <row r="484" spans="2:8" ht="18" customHeight="1" x14ac:dyDescent="0.25">
      <c r="B484" s="40">
        <f>SUBTOTAL(3,C$4:C484)</f>
        <v>457</v>
      </c>
      <c r="C484" s="41">
        <v>24316494</v>
      </c>
      <c r="D484" s="41" t="s">
        <v>702</v>
      </c>
      <c r="E484" s="41" t="s">
        <v>29</v>
      </c>
      <c r="F484" s="41" t="s">
        <v>150</v>
      </c>
      <c r="G484" s="41" t="s">
        <v>28</v>
      </c>
      <c r="H484" s="42" t="s">
        <v>270</v>
      </c>
    </row>
    <row r="485" spans="2:8" ht="18" customHeight="1" x14ac:dyDescent="0.25">
      <c r="B485" s="40">
        <f>SUBTOTAL(3,C$4:C485)</f>
        <v>458</v>
      </c>
      <c r="C485" s="41">
        <v>24339803</v>
      </c>
      <c r="D485" s="41" t="s">
        <v>728</v>
      </c>
      <c r="E485" s="41" t="s">
        <v>29</v>
      </c>
      <c r="F485" s="41" t="s">
        <v>150</v>
      </c>
      <c r="G485" s="41" t="s">
        <v>26</v>
      </c>
      <c r="H485" s="42"/>
    </row>
    <row r="486" spans="2:8" ht="18" customHeight="1" x14ac:dyDescent="0.25">
      <c r="B486" s="40">
        <f>SUBTOTAL(3,C$4:C486)</f>
        <v>459</v>
      </c>
      <c r="C486" s="41">
        <v>24323989</v>
      </c>
      <c r="D486" s="41" t="s">
        <v>765</v>
      </c>
      <c r="E486" s="41" t="s">
        <v>29</v>
      </c>
      <c r="F486" s="41" t="s">
        <v>150</v>
      </c>
      <c r="G486" s="41" t="s">
        <v>26</v>
      </c>
      <c r="H486" s="42"/>
    </row>
    <row r="487" spans="2:8" ht="18" customHeight="1" x14ac:dyDescent="0.25">
      <c r="B487" s="40">
        <f>SUBTOTAL(3,C$4:C487)</f>
        <v>460</v>
      </c>
      <c r="C487" s="41">
        <v>24237416</v>
      </c>
      <c r="D487" s="41" t="s">
        <v>770</v>
      </c>
      <c r="E487" s="41" t="s">
        <v>29</v>
      </c>
      <c r="F487" s="41" t="s">
        <v>150</v>
      </c>
      <c r="G487" s="41" t="s">
        <v>26</v>
      </c>
      <c r="H487" s="42"/>
    </row>
    <row r="488" spans="2:8" ht="18" customHeight="1" x14ac:dyDescent="0.25">
      <c r="B488" s="40">
        <f>SUBTOTAL(3,C$4:C488)</f>
        <v>461</v>
      </c>
      <c r="C488" s="41">
        <v>24115279</v>
      </c>
      <c r="D488" s="41" t="s">
        <v>811</v>
      </c>
      <c r="E488" s="41" t="s">
        <v>29</v>
      </c>
      <c r="F488" s="41" t="s">
        <v>150</v>
      </c>
      <c r="G488" s="41" t="s">
        <v>28</v>
      </c>
      <c r="H488" s="42"/>
    </row>
    <row r="489" spans="2:8" ht="18" customHeight="1" x14ac:dyDescent="0.25">
      <c r="B489" s="40">
        <f>SUBTOTAL(3,C$4:C489)</f>
        <v>462</v>
      </c>
      <c r="C489" s="41">
        <v>24035141</v>
      </c>
      <c r="D489" s="41" t="s">
        <v>840</v>
      </c>
      <c r="E489" s="41" t="s">
        <v>29</v>
      </c>
      <c r="F489" s="41" t="s">
        <v>150</v>
      </c>
      <c r="G489" s="41" t="s">
        <v>26</v>
      </c>
      <c r="H489" s="42"/>
    </row>
    <row r="490" spans="2:8" ht="18" customHeight="1" x14ac:dyDescent="0.25">
      <c r="B490" s="40">
        <f>SUBTOTAL(3,C$4:C490)</f>
        <v>463</v>
      </c>
      <c r="C490" s="41">
        <v>24022457</v>
      </c>
      <c r="D490" s="41" t="s">
        <v>848</v>
      </c>
      <c r="E490" s="41" t="s">
        <v>29</v>
      </c>
      <c r="F490" s="41" t="s">
        <v>150</v>
      </c>
      <c r="G490" s="41" t="s">
        <v>26</v>
      </c>
      <c r="H490" s="42"/>
    </row>
    <row r="491" spans="2:8" ht="18" customHeight="1" x14ac:dyDescent="0.25">
      <c r="B491" s="40">
        <f>SUBTOTAL(3,C$4:C491)</f>
        <v>464</v>
      </c>
      <c r="C491" s="41">
        <v>24090719</v>
      </c>
      <c r="D491" s="41" t="s">
        <v>72</v>
      </c>
      <c r="E491" s="41" t="s">
        <v>29</v>
      </c>
      <c r="F491" s="41" t="s">
        <v>73</v>
      </c>
      <c r="G491" s="41" t="s">
        <v>28</v>
      </c>
      <c r="H491" s="42" t="s">
        <v>74</v>
      </c>
    </row>
    <row r="492" spans="2:8" ht="18" customHeight="1" x14ac:dyDescent="0.25">
      <c r="B492" s="40">
        <f>SUBTOTAL(3,C$4:C492)</f>
        <v>465</v>
      </c>
      <c r="C492" s="41">
        <v>24090352</v>
      </c>
      <c r="D492" s="41" t="s">
        <v>152</v>
      </c>
      <c r="E492" s="41" t="s">
        <v>29</v>
      </c>
      <c r="F492" s="41" t="s">
        <v>73</v>
      </c>
      <c r="G492" s="41" t="s">
        <v>28</v>
      </c>
      <c r="H492" s="42"/>
    </row>
    <row r="493" spans="2:8" ht="18" customHeight="1" x14ac:dyDescent="0.25">
      <c r="B493" s="40">
        <f>SUBTOTAL(3,C$4:C493)</f>
        <v>466</v>
      </c>
      <c r="C493" s="41">
        <v>24035146</v>
      </c>
      <c r="D493" s="41" t="s">
        <v>176</v>
      </c>
      <c r="E493" s="41" t="s">
        <v>29</v>
      </c>
      <c r="F493" s="41" t="s">
        <v>73</v>
      </c>
      <c r="G493" s="41" t="s">
        <v>26</v>
      </c>
      <c r="H493" s="42"/>
    </row>
    <row r="494" spans="2:8" ht="18" customHeight="1" x14ac:dyDescent="0.25">
      <c r="B494" s="40">
        <f>SUBTOTAL(3,C$4:C494)</f>
        <v>467</v>
      </c>
      <c r="C494" s="41">
        <v>24029124</v>
      </c>
      <c r="D494" s="41" t="s">
        <v>259</v>
      </c>
      <c r="E494" s="41" t="s">
        <v>29</v>
      </c>
      <c r="F494" s="41" t="s">
        <v>73</v>
      </c>
      <c r="G494" s="41" t="s">
        <v>26</v>
      </c>
      <c r="H494" s="42" t="s">
        <v>38</v>
      </c>
    </row>
    <row r="495" spans="2:8" ht="18" customHeight="1" x14ac:dyDescent="0.25">
      <c r="B495" s="40">
        <f>SUBTOTAL(3,C$4:C495)</f>
        <v>468</v>
      </c>
      <c r="C495" s="41">
        <v>24024057</v>
      </c>
      <c r="D495" s="41" t="s">
        <v>300</v>
      </c>
      <c r="E495" s="41" t="s">
        <v>29</v>
      </c>
      <c r="F495" s="41" t="s">
        <v>73</v>
      </c>
      <c r="G495" s="41" t="s">
        <v>26</v>
      </c>
      <c r="H495" s="42" t="s">
        <v>80</v>
      </c>
    </row>
    <row r="496" spans="2:8" ht="18" customHeight="1" x14ac:dyDescent="0.25">
      <c r="B496" s="40">
        <f>SUBTOTAL(3,C$4:C496)</f>
        <v>469</v>
      </c>
      <c r="C496" s="41">
        <v>24177816</v>
      </c>
      <c r="D496" s="41" t="s">
        <v>393</v>
      </c>
      <c r="E496" s="41" t="s">
        <v>29</v>
      </c>
      <c r="F496" s="41" t="s">
        <v>73</v>
      </c>
      <c r="G496" s="41" t="s">
        <v>28</v>
      </c>
      <c r="H496" s="42"/>
    </row>
    <row r="497" spans="2:8" ht="18" customHeight="1" x14ac:dyDescent="0.25">
      <c r="B497" s="40">
        <f>SUBTOTAL(3,C$4:C497)</f>
        <v>470</v>
      </c>
      <c r="C497" s="41">
        <v>24030990</v>
      </c>
      <c r="D497" s="41" t="s">
        <v>398</v>
      </c>
      <c r="E497" s="41" t="s">
        <v>29</v>
      </c>
      <c r="F497" s="41" t="s">
        <v>73</v>
      </c>
      <c r="G497" s="41" t="s">
        <v>26</v>
      </c>
      <c r="H497" s="42"/>
    </row>
    <row r="498" spans="2:8" ht="18" customHeight="1" x14ac:dyDescent="0.25">
      <c r="B498" s="40">
        <f>SUBTOTAL(3,C$4:C498)</f>
        <v>471</v>
      </c>
      <c r="C498" s="41">
        <v>24020950</v>
      </c>
      <c r="D498" s="41" t="s">
        <v>406</v>
      </c>
      <c r="E498" s="41" t="s">
        <v>29</v>
      </c>
      <c r="F498" s="41" t="s">
        <v>73</v>
      </c>
      <c r="G498" s="41" t="s">
        <v>26</v>
      </c>
      <c r="H498" s="42"/>
    </row>
    <row r="499" spans="2:8" ht="18" customHeight="1" x14ac:dyDescent="0.25">
      <c r="B499" s="40">
        <f>SUBTOTAL(3,C$4:C499)</f>
        <v>472</v>
      </c>
      <c r="C499" s="41">
        <v>24034208</v>
      </c>
      <c r="D499" s="41" t="s">
        <v>422</v>
      </c>
      <c r="E499" s="41" t="s">
        <v>29</v>
      </c>
      <c r="F499" s="41" t="s">
        <v>73</v>
      </c>
      <c r="G499" s="41" t="s">
        <v>26</v>
      </c>
      <c r="H499" s="42"/>
    </row>
    <row r="500" spans="2:8" ht="18" customHeight="1" x14ac:dyDescent="0.25">
      <c r="B500" s="40">
        <f>SUBTOTAL(3,C$4:C500)</f>
        <v>473</v>
      </c>
      <c r="C500" s="41">
        <v>24020856</v>
      </c>
      <c r="D500" s="41" t="s">
        <v>449</v>
      </c>
      <c r="E500" s="41" t="s">
        <v>29</v>
      </c>
      <c r="F500" s="41" t="s">
        <v>73</v>
      </c>
      <c r="G500" s="41" t="s">
        <v>26</v>
      </c>
      <c r="H500" s="42" t="s">
        <v>38</v>
      </c>
    </row>
    <row r="501" spans="2:8" ht="18" customHeight="1" x14ac:dyDescent="0.25">
      <c r="B501" s="40">
        <f>SUBTOTAL(3,C$4:C501)</f>
        <v>474</v>
      </c>
      <c r="C501" s="41">
        <v>24103240</v>
      </c>
      <c r="D501" s="41" t="s">
        <v>455</v>
      </c>
      <c r="E501" s="41" t="s">
        <v>29</v>
      </c>
      <c r="F501" s="41" t="s">
        <v>73</v>
      </c>
      <c r="G501" s="41" t="s">
        <v>28</v>
      </c>
      <c r="H501" s="42"/>
    </row>
    <row r="502" spans="2:8" ht="18" customHeight="1" x14ac:dyDescent="0.25">
      <c r="B502" s="40">
        <f>SUBTOTAL(3,C$4:C502)</f>
        <v>475</v>
      </c>
      <c r="C502" s="41">
        <v>24117705</v>
      </c>
      <c r="D502" s="41" t="s">
        <v>459</v>
      </c>
      <c r="E502" s="41" t="s">
        <v>29</v>
      </c>
      <c r="F502" s="41" t="s">
        <v>73</v>
      </c>
      <c r="G502" s="41" t="s">
        <v>28</v>
      </c>
      <c r="H502" s="42"/>
    </row>
    <row r="503" spans="2:8" ht="18" customHeight="1" x14ac:dyDescent="0.25">
      <c r="B503" s="40">
        <f>SUBTOTAL(3,C$4:C503)</f>
        <v>476</v>
      </c>
      <c r="C503" s="41">
        <v>24022757</v>
      </c>
      <c r="D503" s="41" t="s">
        <v>469</v>
      </c>
      <c r="E503" s="41" t="s">
        <v>29</v>
      </c>
      <c r="F503" s="41" t="s">
        <v>73</v>
      </c>
      <c r="G503" s="41" t="s">
        <v>26</v>
      </c>
      <c r="H503" s="42"/>
    </row>
    <row r="504" spans="2:8" ht="18" customHeight="1" x14ac:dyDescent="0.25">
      <c r="B504" s="40">
        <f>SUBTOTAL(3,C$4:C504)</f>
        <v>477</v>
      </c>
      <c r="C504" s="41">
        <v>24024076</v>
      </c>
      <c r="D504" s="41" t="s">
        <v>530</v>
      </c>
      <c r="E504" s="41" t="s">
        <v>29</v>
      </c>
      <c r="F504" s="41" t="s">
        <v>73</v>
      </c>
      <c r="G504" s="41" t="s">
        <v>26</v>
      </c>
      <c r="H504" s="42"/>
    </row>
    <row r="505" spans="2:8" ht="18" customHeight="1" x14ac:dyDescent="0.25">
      <c r="B505" s="40">
        <f>SUBTOTAL(3,C$4:C505)</f>
        <v>478</v>
      </c>
      <c r="C505" s="41">
        <v>24171541</v>
      </c>
      <c r="D505" s="41" t="s">
        <v>554</v>
      </c>
      <c r="E505" s="41" t="s">
        <v>29</v>
      </c>
      <c r="F505" s="41" t="s">
        <v>73</v>
      </c>
      <c r="G505" s="41" t="s">
        <v>26</v>
      </c>
      <c r="H505" s="42"/>
    </row>
    <row r="506" spans="2:8" ht="18" customHeight="1" x14ac:dyDescent="0.25">
      <c r="B506" s="40">
        <f>SUBTOTAL(3,C$4:C506)</f>
        <v>479</v>
      </c>
      <c r="C506" s="41">
        <v>24031470</v>
      </c>
      <c r="D506" s="41" t="s">
        <v>758</v>
      </c>
      <c r="E506" s="41" t="s">
        <v>29</v>
      </c>
      <c r="F506" s="41" t="s">
        <v>73</v>
      </c>
      <c r="G506" s="41" t="s">
        <v>26</v>
      </c>
      <c r="H506" s="42" t="s">
        <v>80</v>
      </c>
    </row>
    <row r="507" spans="2:8" ht="18" customHeight="1" x14ac:dyDescent="0.25">
      <c r="B507" s="40">
        <f>SUBTOTAL(3,C$4:C507)</f>
        <v>480</v>
      </c>
      <c r="C507" s="41">
        <v>24027013</v>
      </c>
      <c r="D507" s="41" t="s">
        <v>777</v>
      </c>
      <c r="E507" s="41" t="s">
        <v>29</v>
      </c>
      <c r="F507" s="41" t="s">
        <v>73</v>
      </c>
      <c r="G507" s="41" t="s">
        <v>26</v>
      </c>
      <c r="H507" s="42"/>
    </row>
    <row r="508" spans="2:8" ht="18" customHeight="1" x14ac:dyDescent="0.25">
      <c r="B508" s="40">
        <f>SUBTOTAL(3,C$4:C508)</f>
        <v>481</v>
      </c>
      <c r="C508" s="41">
        <v>24121624</v>
      </c>
      <c r="D508" s="41" t="s">
        <v>798</v>
      </c>
      <c r="E508" s="41" t="s">
        <v>29</v>
      </c>
      <c r="F508" s="41" t="s">
        <v>73</v>
      </c>
      <c r="G508" s="41" t="s">
        <v>26</v>
      </c>
      <c r="H508" s="42"/>
    </row>
    <row r="509" spans="2:8" ht="18" customHeight="1" x14ac:dyDescent="0.25">
      <c r="B509" s="40">
        <f>SUBTOTAL(3,C$4:C509)</f>
        <v>482</v>
      </c>
      <c r="C509" s="41">
        <v>24090552</v>
      </c>
      <c r="D509" s="41" t="s">
        <v>819</v>
      </c>
      <c r="E509" s="41" t="s">
        <v>29</v>
      </c>
      <c r="F509" s="41" t="s">
        <v>73</v>
      </c>
      <c r="G509" s="41" t="s">
        <v>28</v>
      </c>
      <c r="H509" s="42" t="s">
        <v>38</v>
      </c>
    </row>
    <row r="510" spans="2:8" ht="18" customHeight="1" x14ac:dyDescent="0.25">
      <c r="B510" s="40">
        <f>SUBTOTAL(3,C$4:C510)</f>
        <v>483</v>
      </c>
      <c r="C510" s="41">
        <v>24274484</v>
      </c>
      <c r="D510" s="41" t="s">
        <v>830</v>
      </c>
      <c r="E510" s="41" t="s">
        <v>29</v>
      </c>
      <c r="F510" s="41" t="s">
        <v>73</v>
      </c>
      <c r="G510" s="41" t="s">
        <v>26</v>
      </c>
      <c r="H510" s="42"/>
    </row>
    <row r="511" spans="2:8" ht="18" customHeight="1" x14ac:dyDescent="0.25">
      <c r="B511" s="40">
        <f>SUBTOTAL(3,C$4:C511)</f>
        <v>484</v>
      </c>
      <c r="C511" s="41">
        <v>24104690</v>
      </c>
      <c r="D511" s="41" t="s">
        <v>831</v>
      </c>
      <c r="E511" s="41" t="s">
        <v>29</v>
      </c>
      <c r="F511" s="41" t="s">
        <v>73</v>
      </c>
      <c r="G511" s="41" t="s">
        <v>28</v>
      </c>
      <c r="H511" s="42"/>
    </row>
    <row r="512" spans="2:8" ht="18" customHeight="1" x14ac:dyDescent="0.25">
      <c r="B512" s="40">
        <f>SUBTOTAL(3,C$4:C512)</f>
        <v>485</v>
      </c>
      <c r="C512" s="41">
        <v>24020552</v>
      </c>
      <c r="D512" s="41" t="s">
        <v>852</v>
      </c>
      <c r="E512" s="41" t="s">
        <v>29</v>
      </c>
      <c r="F512" s="41" t="s">
        <v>73</v>
      </c>
      <c r="G512" s="41" t="s">
        <v>26</v>
      </c>
      <c r="H512" s="42"/>
    </row>
    <row r="513" spans="2:8" ht="18" customHeight="1" x14ac:dyDescent="0.25">
      <c r="B513" s="40">
        <f>SUBTOTAL(3,C$4:C513)</f>
        <v>486</v>
      </c>
      <c r="C513" s="41">
        <v>24038862</v>
      </c>
      <c r="D513" s="41" t="s">
        <v>862</v>
      </c>
      <c r="E513" s="41" t="s">
        <v>29</v>
      </c>
      <c r="F513" s="41" t="s">
        <v>73</v>
      </c>
      <c r="G513" s="41" t="s">
        <v>26</v>
      </c>
      <c r="H513" s="42"/>
    </row>
    <row r="514" spans="2:8" ht="18" customHeight="1" x14ac:dyDescent="0.25">
      <c r="B514" s="40">
        <f>SUBTOTAL(3,C$4:C514)</f>
        <v>487</v>
      </c>
      <c r="C514" s="41">
        <v>24028702</v>
      </c>
      <c r="D514" s="41" t="s">
        <v>282</v>
      </c>
      <c r="E514" s="41" t="s">
        <v>29</v>
      </c>
      <c r="F514" s="41" t="s">
        <v>283</v>
      </c>
      <c r="G514" s="41" t="s">
        <v>24</v>
      </c>
      <c r="H514" s="42"/>
    </row>
    <row r="515" spans="2:8" ht="18" customHeight="1" x14ac:dyDescent="0.25">
      <c r="B515" s="40">
        <f>SUBTOTAL(3,C$4:C515)</f>
        <v>488</v>
      </c>
      <c r="C515" s="41">
        <v>24020776</v>
      </c>
      <c r="D515" s="41" t="s">
        <v>313</v>
      </c>
      <c r="E515" s="41" t="s">
        <v>29</v>
      </c>
      <c r="F515" s="41" t="s">
        <v>283</v>
      </c>
      <c r="G515" s="41" t="s">
        <v>24</v>
      </c>
      <c r="H515" s="42"/>
    </row>
    <row r="516" spans="2:8" ht="18" customHeight="1" x14ac:dyDescent="0.25">
      <c r="B516" s="40">
        <f>SUBTOTAL(3,C$4:C516)</f>
        <v>489</v>
      </c>
      <c r="C516" s="41">
        <v>24028472</v>
      </c>
      <c r="D516" s="41" t="s">
        <v>334</v>
      </c>
      <c r="E516" s="41" t="s">
        <v>29</v>
      </c>
      <c r="F516" s="41" t="s">
        <v>283</v>
      </c>
      <c r="G516" s="41" t="s">
        <v>24</v>
      </c>
      <c r="H516" s="42"/>
    </row>
    <row r="517" spans="2:8" ht="18" customHeight="1" x14ac:dyDescent="0.25">
      <c r="B517" s="40">
        <f>SUBTOTAL(3,C$4:C517)</f>
        <v>490</v>
      </c>
      <c r="C517" s="41">
        <v>24024429</v>
      </c>
      <c r="D517" s="41" t="s">
        <v>385</v>
      </c>
      <c r="E517" s="41" t="s">
        <v>29</v>
      </c>
      <c r="F517" s="41" t="s">
        <v>283</v>
      </c>
      <c r="G517" s="41" t="s">
        <v>24</v>
      </c>
      <c r="H517" s="42" t="s">
        <v>386</v>
      </c>
    </row>
    <row r="518" spans="2:8" ht="18" customHeight="1" x14ac:dyDescent="0.25">
      <c r="B518" s="40">
        <f>SUBTOTAL(3,C$4:C518)</f>
        <v>491</v>
      </c>
      <c r="C518" s="41">
        <v>24029592</v>
      </c>
      <c r="D518" s="41" t="s">
        <v>433</v>
      </c>
      <c r="E518" s="41" t="s">
        <v>29</v>
      </c>
      <c r="F518" s="41" t="s">
        <v>434</v>
      </c>
      <c r="G518" s="41" t="s">
        <v>24</v>
      </c>
      <c r="H518" s="42"/>
    </row>
    <row r="519" spans="2:8" ht="18" customHeight="1" x14ac:dyDescent="0.25">
      <c r="B519" s="40">
        <f>SUBTOTAL(3,C$4:C519)</f>
        <v>492</v>
      </c>
      <c r="C519" s="41">
        <v>24021011</v>
      </c>
      <c r="D519" s="41" t="s">
        <v>451</v>
      </c>
      <c r="E519" s="41" t="s">
        <v>29</v>
      </c>
      <c r="F519" s="41" t="s">
        <v>283</v>
      </c>
      <c r="G519" s="41" t="s">
        <v>24</v>
      </c>
      <c r="H519" s="42"/>
    </row>
    <row r="520" spans="2:8" ht="18" customHeight="1" x14ac:dyDescent="0.25">
      <c r="B520" s="40">
        <f>SUBTOTAL(3,C$4:C520)</f>
        <v>493</v>
      </c>
      <c r="C520" s="41">
        <v>24022110</v>
      </c>
      <c r="D520" s="41" t="s">
        <v>497</v>
      </c>
      <c r="E520" s="41" t="s">
        <v>29</v>
      </c>
      <c r="F520" s="41" t="s">
        <v>283</v>
      </c>
      <c r="G520" s="41" t="s">
        <v>24</v>
      </c>
      <c r="H520" s="42"/>
    </row>
    <row r="521" spans="2:8" ht="18" customHeight="1" x14ac:dyDescent="0.25">
      <c r="B521" s="40">
        <f>SUBTOTAL(3,C$4:C521)</f>
        <v>494</v>
      </c>
      <c r="C521" s="41">
        <v>24238961</v>
      </c>
      <c r="D521" s="41" t="s">
        <v>517</v>
      </c>
      <c r="E521" s="41" t="s">
        <v>29</v>
      </c>
      <c r="F521" s="41" t="s">
        <v>283</v>
      </c>
      <c r="G521" s="41" t="s">
        <v>24</v>
      </c>
      <c r="H521" s="42"/>
    </row>
    <row r="522" spans="2:8" ht="18" customHeight="1" x14ac:dyDescent="0.25">
      <c r="B522" s="40">
        <f>SUBTOTAL(3,C$4:C522)</f>
        <v>495</v>
      </c>
      <c r="C522" s="41">
        <v>24026744</v>
      </c>
      <c r="D522" s="41" t="s">
        <v>743</v>
      </c>
      <c r="E522" s="41" t="s">
        <v>29</v>
      </c>
      <c r="F522" s="41" t="s">
        <v>434</v>
      </c>
      <c r="G522" s="41" t="s">
        <v>26</v>
      </c>
      <c r="H522" s="42"/>
    </row>
    <row r="523" spans="2:8" ht="18" customHeight="1" x14ac:dyDescent="0.25">
      <c r="B523" s="40">
        <f>SUBTOTAL(3,C$4:C523)</f>
        <v>496</v>
      </c>
      <c r="C523" s="41">
        <v>24033792</v>
      </c>
      <c r="D523" s="41" t="s">
        <v>859</v>
      </c>
      <c r="E523" s="41" t="s">
        <v>29</v>
      </c>
      <c r="F523" s="41" t="s">
        <v>283</v>
      </c>
      <c r="G523" s="41" t="s">
        <v>24</v>
      </c>
      <c r="H523" s="42" t="s">
        <v>287</v>
      </c>
    </row>
    <row r="524" spans="2:8" ht="18" customHeight="1" x14ac:dyDescent="0.25">
      <c r="B524" s="40">
        <f>SUBTOTAL(3,C$4:C524)</f>
        <v>497</v>
      </c>
      <c r="C524" s="41">
        <v>24035073</v>
      </c>
      <c r="D524" s="41" t="s">
        <v>875</v>
      </c>
      <c r="E524" s="41" t="s">
        <v>29</v>
      </c>
      <c r="F524" s="41" t="s">
        <v>283</v>
      </c>
      <c r="G524" s="41" t="s">
        <v>24</v>
      </c>
      <c r="H524" s="42"/>
    </row>
    <row r="525" spans="2:8" ht="18" customHeight="1" x14ac:dyDescent="0.25">
      <c r="B525" s="40">
        <f>SUBTOTAL(3,C$4:C525)</f>
        <v>498</v>
      </c>
      <c r="C525" s="41">
        <v>24019812</v>
      </c>
      <c r="D525" s="41" t="s">
        <v>878</v>
      </c>
      <c r="E525" s="41" t="s">
        <v>29</v>
      </c>
      <c r="F525" s="41" t="s">
        <v>283</v>
      </c>
      <c r="G525" s="41" t="s">
        <v>24</v>
      </c>
      <c r="H525" s="42"/>
    </row>
    <row r="526" spans="2:8" ht="18" customHeight="1" x14ac:dyDescent="0.25">
      <c r="B526" s="40">
        <f>SUBTOTAL(3,C$4:C526)</f>
        <v>499</v>
      </c>
      <c r="C526" s="41">
        <v>24027218</v>
      </c>
      <c r="D526" s="41" t="s">
        <v>112</v>
      </c>
      <c r="E526" s="41" t="s">
        <v>29</v>
      </c>
      <c r="F526" s="41" t="s">
        <v>113</v>
      </c>
      <c r="G526" s="41" t="s">
        <v>24</v>
      </c>
      <c r="H526" s="42"/>
    </row>
    <row r="527" spans="2:8" ht="18" customHeight="1" x14ac:dyDescent="0.25">
      <c r="B527" s="40">
        <f>SUBTOTAL(3,C$4:C527)</f>
        <v>500</v>
      </c>
      <c r="C527" s="41">
        <v>24027001</v>
      </c>
      <c r="D527" s="41" t="s">
        <v>228</v>
      </c>
      <c r="E527" s="41" t="s">
        <v>29</v>
      </c>
      <c r="F527" s="41" t="s">
        <v>113</v>
      </c>
      <c r="G527" s="41" t="s">
        <v>24</v>
      </c>
      <c r="H527" s="42"/>
    </row>
    <row r="528" spans="2:8" ht="18" customHeight="1" x14ac:dyDescent="0.25">
      <c r="B528" s="40">
        <f>SUBTOTAL(3,C$4:C528)</f>
        <v>501</v>
      </c>
      <c r="C528" s="41">
        <v>24031104</v>
      </c>
      <c r="D528" s="41" t="s">
        <v>251</v>
      </c>
      <c r="E528" s="41" t="s">
        <v>29</v>
      </c>
      <c r="F528" s="41" t="s">
        <v>113</v>
      </c>
      <c r="G528" s="41" t="s">
        <v>26</v>
      </c>
      <c r="H528" s="42"/>
    </row>
    <row r="529" spans="2:8" ht="18" customHeight="1" x14ac:dyDescent="0.25">
      <c r="B529" s="40">
        <f>SUBTOTAL(3,C$4:C529)</f>
        <v>502</v>
      </c>
      <c r="C529" s="41">
        <v>24023549</v>
      </c>
      <c r="D529" s="41" t="s">
        <v>402</v>
      </c>
      <c r="E529" s="41" t="s">
        <v>29</v>
      </c>
      <c r="F529" s="41" t="s">
        <v>113</v>
      </c>
      <c r="G529" s="41" t="s">
        <v>24</v>
      </c>
      <c r="H529" s="42" t="s">
        <v>403</v>
      </c>
    </row>
    <row r="530" spans="2:8" ht="18" customHeight="1" x14ac:dyDescent="0.25">
      <c r="B530" s="40">
        <f>SUBTOTAL(3,C$4:C530)</f>
        <v>503</v>
      </c>
      <c r="C530" s="41">
        <v>24028503</v>
      </c>
      <c r="D530" s="41" t="s">
        <v>476</v>
      </c>
      <c r="E530" s="41" t="s">
        <v>29</v>
      </c>
      <c r="F530" s="41" t="s">
        <v>113</v>
      </c>
      <c r="G530" s="41" t="s">
        <v>24</v>
      </c>
      <c r="H530" s="42"/>
    </row>
    <row r="531" spans="2:8" ht="18" customHeight="1" x14ac:dyDescent="0.25">
      <c r="B531" s="40">
        <f>SUBTOTAL(3,C$4:C531)</f>
        <v>504</v>
      </c>
      <c r="C531" s="41">
        <v>24022108</v>
      </c>
      <c r="D531" s="41" t="s">
        <v>483</v>
      </c>
      <c r="E531" s="41" t="s">
        <v>29</v>
      </c>
      <c r="F531" s="41" t="s">
        <v>113</v>
      </c>
      <c r="G531" s="41" t="s">
        <v>26</v>
      </c>
      <c r="H531" s="42" t="s">
        <v>80</v>
      </c>
    </row>
    <row r="532" spans="2:8" ht="18" customHeight="1" x14ac:dyDescent="0.25">
      <c r="B532" s="40">
        <f>SUBTOTAL(3,C$4:C532)</f>
        <v>505</v>
      </c>
      <c r="C532" s="41">
        <v>24036964</v>
      </c>
      <c r="D532" s="41" t="s">
        <v>556</v>
      </c>
      <c r="E532" s="41" t="s">
        <v>29</v>
      </c>
      <c r="F532" s="41" t="s">
        <v>557</v>
      </c>
      <c r="G532" s="41" t="s">
        <v>24</v>
      </c>
      <c r="H532" s="42"/>
    </row>
    <row r="533" spans="2:8" ht="18" customHeight="1" x14ac:dyDescent="0.25">
      <c r="B533" s="40">
        <f>SUBTOTAL(3,C$4:C533)</f>
        <v>506</v>
      </c>
      <c r="C533" s="41">
        <v>24170227</v>
      </c>
      <c r="D533" s="41" t="s">
        <v>588</v>
      </c>
      <c r="E533" s="41" t="s">
        <v>29</v>
      </c>
      <c r="F533" s="41" t="s">
        <v>113</v>
      </c>
      <c r="G533" s="41" t="s">
        <v>24</v>
      </c>
      <c r="H533" s="42"/>
    </row>
    <row r="534" spans="2:8" ht="18" customHeight="1" x14ac:dyDescent="0.25">
      <c r="B534" s="40">
        <f>SUBTOTAL(3,C$4:C534)</f>
        <v>507</v>
      </c>
      <c r="C534" s="41">
        <v>24037418</v>
      </c>
      <c r="D534" s="41" t="s">
        <v>610</v>
      </c>
      <c r="E534" s="41" t="s">
        <v>29</v>
      </c>
      <c r="F534" s="41" t="s">
        <v>113</v>
      </c>
      <c r="G534" s="41" t="s">
        <v>24</v>
      </c>
      <c r="H534" s="42"/>
    </row>
    <row r="535" spans="2:8" ht="18" customHeight="1" x14ac:dyDescent="0.25">
      <c r="B535" s="40">
        <f>SUBTOTAL(3,C$4:C535)</f>
        <v>508</v>
      </c>
      <c r="C535" s="41">
        <v>24035994</v>
      </c>
      <c r="D535" s="41" t="s">
        <v>685</v>
      </c>
      <c r="E535" s="41" t="s">
        <v>29</v>
      </c>
      <c r="F535" s="41" t="s">
        <v>113</v>
      </c>
      <c r="G535" s="41" t="s">
        <v>26</v>
      </c>
      <c r="H535" s="42" t="s">
        <v>80</v>
      </c>
    </row>
    <row r="536" spans="2:8" ht="18" customHeight="1" x14ac:dyDescent="0.25">
      <c r="B536" s="40">
        <f>SUBTOTAL(3,C$4:C536)</f>
        <v>509</v>
      </c>
      <c r="C536" s="41">
        <v>24039104</v>
      </c>
      <c r="D536" s="41" t="s">
        <v>700</v>
      </c>
      <c r="E536" s="41" t="s">
        <v>29</v>
      </c>
      <c r="F536" s="41" t="s">
        <v>113</v>
      </c>
      <c r="G536" s="41" t="s">
        <v>26</v>
      </c>
      <c r="H536" s="42" t="s">
        <v>80</v>
      </c>
    </row>
    <row r="537" spans="2:8" ht="18" customHeight="1" x14ac:dyDescent="0.25">
      <c r="B537" s="40">
        <f>SUBTOTAL(3,C$4:C537)</f>
        <v>510</v>
      </c>
      <c r="C537" s="41">
        <v>24020485</v>
      </c>
      <c r="D537" s="41" t="s">
        <v>187</v>
      </c>
      <c r="E537" s="41" t="s">
        <v>29</v>
      </c>
      <c r="F537" s="41" t="s">
        <v>188</v>
      </c>
      <c r="G537" s="41" t="s">
        <v>24</v>
      </c>
      <c r="H537" s="42"/>
    </row>
    <row r="538" spans="2:8" ht="18" customHeight="1" x14ac:dyDescent="0.25">
      <c r="B538" s="40">
        <f>SUBTOTAL(3,C$4:C538)</f>
        <v>511</v>
      </c>
      <c r="C538" s="41">
        <v>24022513</v>
      </c>
      <c r="D538" s="41" t="s">
        <v>328</v>
      </c>
      <c r="E538" s="41" t="s">
        <v>29</v>
      </c>
      <c r="F538" s="41" t="s">
        <v>188</v>
      </c>
      <c r="G538" s="41" t="s">
        <v>24</v>
      </c>
      <c r="H538" s="42"/>
    </row>
    <row r="539" spans="2:8" ht="18" customHeight="1" x14ac:dyDescent="0.25">
      <c r="B539" s="40">
        <f>SUBTOTAL(3,C$4:C539)</f>
        <v>512</v>
      </c>
      <c r="C539" s="41">
        <v>24035699</v>
      </c>
      <c r="D539" s="41" t="s">
        <v>505</v>
      </c>
      <c r="E539" s="41" t="s">
        <v>29</v>
      </c>
      <c r="F539" s="41" t="s">
        <v>188</v>
      </c>
      <c r="G539" s="41" t="s">
        <v>24</v>
      </c>
      <c r="H539" s="42"/>
    </row>
    <row r="540" spans="2:8" ht="18" customHeight="1" x14ac:dyDescent="0.25">
      <c r="B540" s="40">
        <f>SUBTOTAL(3,C$4:C540)</f>
        <v>513</v>
      </c>
      <c r="C540" s="41">
        <v>24028229</v>
      </c>
      <c r="D540" s="41" t="s">
        <v>689</v>
      </c>
      <c r="E540" s="41" t="s">
        <v>29</v>
      </c>
      <c r="F540" s="41" t="s">
        <v>188</v>
      </c>
      <c r="G540" s="41" t="s">
        <v>24</v>
      </c>
      <c r="H540" s="42"/>
    </row>
    <row r="541" spans="2:8" ht="18" customHeight="1" x14ac:dyDescent="0.25">
      <c r="B541" s="40">
        <f>SUBTOTAL(3,C$4:C541)</f>
        <v>514</v>
      </c>
      <c r="C541" s="41">
        <v>24023531</v>
      </c>
      <c r="D541" s="41" t="s">
        <v>691</v>
      </c>
      <c r="E541" s="41" t="s">
        <v>29</v>
      </c>
      <c r="F541" s="41" t="s">
        <v>692</v>
      </c>
      <c r="G541" s="41" t="s">
        <v>24</v>
      </c>
      <c r="H541" s="42" t="s">
        <v>377</v>
      </c>
    </row>
    <row r="542" spans="2:8" ht="18" customHeight="1" x14ac:dyDescent="0.25">
      <c r="B542" s="40">
        <f>SUBTOTAL(3,C$4:C542)</f>
        <v>515</v>
      </c>
      <c r="C542" s="41">
        <v>24019870</v>
      </c>
      <c r="D542" s="41" t="s">
        <v>717</v>
      </c>
      <c r="E542" s="41" t="s">
        <v>29</v>
      </c>
      <c r="F542" s="41" t="s">
        <v>188</v>
      </c>
      <c r="G542" s="41" t="s">
        <v>24</v>
      </c>
      <c r="H542" s="42"/>
    </row>
    <row r="543" spans="2:8" ht="18" customHeight="1" x14ac:dyDescent="0.25">
      <c r="B543" s="40">
        <f>SUBTOTAL(3,C$4:C543)</f>
        <v>516</v>
      </c>
      <c r="C543" s="41">
        <v>24024098</v>
      </c>
      <c r="D543" s="41" t="s">
        <v>729</v>
      </c>
      <c r="E543" s="41" t="s">
        <v>29</v>
      </c>
      <c r="F543" s="41" t="s">
        <v>188</v>
      </c>
      <c r="G543" s="41" t="s">
        <v>24</v>
      </c>
      <c r="H543" s="42"/>
    </row>
    <row r="544" spans="2:8" ht="18" customHeight="1" x14ac:dyDescent="0.25">
      <c r="B544" s="40">
        <f>SUBTOTAL(3,C$4:C544)</f>
        <v>517</v>
      </c>
      <c r="C544" s="41">
        <v>24022195</v>
      </c>
      <c r="D544" s="41" t="s">
        <v>801</v>
      </c>
      <c r="E544" s="41" t="s">
        <v>29</v>
      </c>
      <c r="F544" s="41" t="s">
        <v>188</v>
      </c>
      <c r="G544" s="41" t="s">
        <v>24</v>
      </c>
      <c r="H544" s="42"/>
    </row>
    <row r="545" spans="2:8" ht="18" customHeight="1" x14ac:dyDescent="0.25">
      <c r="B545" s="40">
        <f>SUBTOTAL(3,C$4:C545)</f>
        <v>518</v>
      </c>
      <c r="C545" s="41">
        <v>24021394</v>
      </c>
      <c r="D545" s="41" t="s">
        <v>807</v>
      </c>
      <c r="E545" s="41" t="s">
        <v>29</v>
      </c>
      <c r="F545" s="41" t="s">
        <v>188</v>
      </c>
      <c r="G545" s="41" t="s">
        <v>24</v>
      </c>
      <c r="H545" s="42"/>
    </row>
    <row r="546" spans="2:8" ht="18" customHeight="1" x14ac:dyDescent="0.25">
      <c r="B546" s="40">
        <f>SUBTOTAL(3,C$4:C546)</f>
        <v>519</v>
      </c>
      <c r="C546" s="41">
        <v>24030464</v>
      </c>
      <c r="D546" s="41" t="s">
        <v>75</v>
      </c>
      <c r="E546" s="41" t="s">
        <v>29</v>
      </c>
      <c r="F546" s="41" t="s">
        <v>76</v>
      </c>
      <c r="G546" s="41" t="s">
        <v>24</v>
      </c>
      <c r="H546" s="42"/>
    </row>
    <row r="547" spans="2:8" ht="18" customHeight="1" x14ac:dyDescent="0.25">
      <c r="B547" s="40">
        <f>SUBTOTAL(3,C$4:C547)</f>
        <v>520</v>
      </c>
      <c r="C547" s="41">
        <v>24022409</v>
      </c>
      <c r="D547" s="41" t="s">
        <v>184</v>
      </c>
      <c r="E547" s="41" t="s">
        <v>29</v>
      </c>
      <c r="F547" s="41" t="s">
        <v>76</v>
      </c>
      <c r="G547" s="41" t="s">
        <v>24</v>
      </c>
      <c r="H547" s="42" t="s">
        <v>38</v>
      </c>
    </row>
    <row r="548" spans="2:8" ht="18" customHeight="1" x14ac:dyDescent="0.25">
      <c r="B548" s="40">
        <f>SUBTOTAL(3,C$4:C548)</f>
        <v>521</v>
      </c>
      <c r="C548" s="41">
        <v>24034203</v>
      </c>
      <c r="D548" s="41" t="s">
        <v>307</v>
      </c>
      <c r="E548" s="41" t="s">
        <v>29</v>
      </c>
      <c r="F548" s="41" t="s">
        <v>76</v>
      </c>
      <c r="G548" s="41" t="s">
        <v>24</v>
      </c>
      <c r="H548" s="42"/>
    </row>
    <row r="549" spans="2:8" ht="18" customHeight="1" x14ac:dyDescent="0.25">
      <c r="B549" s="40">
        <f>SUBTOTAL(3,C$4:C549)</f>
        <v>522</v>
      </c>
      <c r="C549" s="41">
        <v>24022506</v>
      </c>
      <c r="D549" s="41" t="s">
        <v>318</v>
      </c>
      <c r="E549" s="41" t="s">
        <v>29</v>
      </c>
      <c r="F549" s="41" t="s">
        <v>76</v>
      </c>
      <c r="G549" s="41" t="s">
        <v>24</v>
      </c>
      <c r="H549" s="42" t="s">
        <v>80</v>
      </c>
    </row>
    <row r="550" spans="2:8" ht="18" customHeight="1" x14ac:dyDescent="0.25">
      <c r="B550" s="40">
        <f>SUBTOTAL(3,C$4:C550)</f>
        <v>523</v>
      </c>
      <c r="C550" s="41">
        <v>24020600</v>
      </c>
      <c r="D550" s="41" t="s">
        <v>327</v>
      </c>
      <c r="E550" s="41" t="s">
        <v>29</v>
      </c>
      <c r="F550" s="41" t="s">
        <v>76</v>
      </c>
      <c r="G550" s="41" t="s">
        <v>24</v>
      </c>
      <c r="H550" s="42" t="s">
        <v>80</v>
      </c>
    </row>
    <row r="551" spans="2:8" ht="18" customHeight="1" x14ac:dyDescent="0.25">
      <c r="B551" s="40">
        <f>SUBTOTAL(3,C$4:C551)</f>
        <v>524</v>
      </c>
      <c r="C551" s="41">
        <v>24030752</v>
      </c>
      <c r="D551" s="41" t="s">
        <v>520</v>
      </c>
      <c r="E551" s="41" t="s">
        <v>29</v>
      </c>
      <c r="F551" s="41" t="s">
        <v>76</v>
      </c>
      <c r="G551" s="41" t="s">
        <v>24</v>
      </c>
      <c r="H551" s="42"/>
    </row>
    <row r="552" spans="2:8" ht="18" customHeight="1" x14ac:dyDescent="0.25">
      <c r="B552" s="40">
        <f>SUBTOTAL(3,C$4:C552)</f>
        <v>525</v>
      </c>
      <c r="C552" s="41">
        <v>24033311</v>
      </c>
      <c r="D552" s="41" t="s">
        <v>533</v>
      </c>
      <c r="E552" s="41" t="s">
        <v>29</v>
      </c>
      <c r="F552" s="41" t="s">
        <v>534</v>
      </c>
      <c r="G552" s="41" t="s">
        <v>24</v>
      </c>
      <c r="H552" s="42"/>
    </row>
    <row r="553" spans="2:8" ht="18" customHeight="1" x14ac:dyDescent="0.25">
      <c r="B553" s="40">
        <f>SUBTOTAL(3,C$4:C553)</f>
        <v>526</v>
      </c>
      <c r="C553" s="41">
        <v>24029905</v>
      </c>
      <c r="D553" s="41" t="s">
        <v>654</v>
      </c>
      <c r="E553" s="41" t="s">
        <v>29</v>
      </c>
      <c r="F553" s="41" t="s">
        <v>76</v>
      </c>
      <c r="G553" s="41" t="s">
        <v>24</v>
      </c>
      <c r="H553" s="42" t="s">
        <v>132</v>
      </c>
    </row>
    <row r="554" spans="2:8" ht="18" customHeight="1" x14ac:dyDescent="0.25">
      <c r="B554" s="40">
        <f>SUBTOTAL(3,C$4:C554)</f>
        <v>527</v>
      </c>
      <c r="C554" s="41">
        <v>24024747</v>
      </c>
      <c r="D554" s="41" t="s">
        <v>686</v>
      </c>
      <c r="E554" s="41" t="s">
        <v>29</v>
      </c>
      <c r="F554" s="41" t="s">
        <v>76</v>
      </c>
      <c r="G554" s="41" t="s">
        <v>24</v>
      </c>
      <c r="H554" s="42"/>
    </row>
    <row r="555" spans="2:8" ht="18" customHeight="1" x14ac:dyDescent="0.25">
      <c r="B555" s="40">
        <f>SUBTOTAL(3,C$4:C555)</f>
        <v>528</v>
      </c>
      <c r="C555" s="41">
        <v>24036472</v>
      </c>
      <c r="D555" s="41" t="s">
        <v>745</v>
      </c>
      <c r="E555" s="41" t="s">
        <v>29</v>
      </c>
      <c r="F555" s="41" t="s">
        <v>76</v>
      </c>
      <c r="G555" s="41" t="s">
        <v>24</v>
      </c>
      <c r="H555" s="42"/>
    </row>
    <row r="556" spans="2:8" ht="18" customHeight="1" x14ac:dyDescent="0.25">
      <c r="B556" s="40">
        <f>SUBTOTAL(3,C$4:C556)</f>
        <v>529</v>
      </c>
      <c r="C556" s="41">
        <v>24025072</v>
      </c>
      <c r="D556" s="41" t="s">
        <v>84</v>
      </c>
      <c r="E556" s="41" t="s">
        <v>29</v>
      </c>
      <c r="F556" s="41" t="s">
        <v>85</v>
      </c>
      <c r="G556" s="41" t="s">
        <v>24</v>
      </c>
      <c r="H556" s="42"/>
    </row>
    <row r="557" spans="2:8" ht="18" customHeight="1" x14ac:dyDescent="0.25">
      <c r="B557" s="40">
        <f>SUBTOTAL(3,C$4:C557)</f>
        <v>530</v>
      </c>
      <c r="C557" s="41">
        <v>24038715</v>
      </c>
      <c r="D557" s="41" t="s">
        <v>297</v>
      </c>
      <c r="E557" s="41" t="s">
        <v>29</v>
      </c>
      <c r="F557" s="41" t="s">
        <v>85</v>
      </c>
      <c r="G557" s="41" t="s">
        <v>24</v>
      </c>
      <c r="H557" s="42"/>
    </row>
    <row r="558" spans="2:8" ht="18" customHeight="1" x14ac:dyDescent="0.25">
      <c r="B558" s="40">
        <f>SUBTOTAL(3,C$4:C558)</f>
        <v>531</v>
      </c>
      <c r="C558" s="41">
        <v>24024728</v>
      </c>
      <c r="D558" s="41" t="s">
        <v>333</v>
      </c>
      <c r="E558" s="41" t="s">
        <v>29</v>
      </c>
      <c r="F558" s="41" t="s">
        <v>85</v>
      </c>
      <c r="G558" s="41" t="s">
        <v>24</v>
      </c>
      <c r="H558" s="42"/>
    </row>
    <row r="559" spans="2:8" ht="18" customHeight="1" x14ac:dyDescent="0.25">
      <c r="B559" s="40">
        <f>SUBTOTAL(3,C$4:C559)</f>
        <v>532</v>
      </c>
      <c r="C559" s="41">
        <v>24024345</v>
      </c>
      <c r="D559" s="41" t="s">
        <v>371</v>
      </c>
      <c r="E559" s="41" t="s">
        <v>29</v>
      </c>
      <c r="F559" s="41" t="s">
        <v>85</v>
      </c>
      <c r="G559" s="41" t="s">
        <v>24</v>
      </c>
      <c r="H559" s="42"/>
    </row>
    <row r="560" spans="2:8" ht="18" customHeight="1" x14ac:dyDescent="0.25">
      <c r="B560" s="40">
        <f>SUBTOTAL(3,C$4:C560)</f>
        <v>533</v>
      </c>
      <c r="C560" s="41">
        <v>24033026</v>
      </c>
      <c r="D560" s="41" t="s">
        <v>514</v>
      </c>
      <c r="E560" s="41" t="s">
        <v>29</v>
      </c>
      <c r="F560" s="41" t="s">
        <v>85</v>
      </c>
      <c r="G560" s="41" t="s">
        <v>24</v>
      </c>
      <c r="H560" s="42"/>
    </row>
    <row r="561" spans="2:8" ht="18" customHeight="1" x14ac:dyDescent="0.25">
      <c r="B561" s="40">
        <f>SUBTOTAL(3,C$4:C561)</f>
        <v>534</v>
      </c>
      <c r="C561" s="41">
        <v>24033009</v>
      </c>
      <c r="D561" s="41" t="s">
        <v>536</v>
      </c>
      <c r="E561" s="41" t="s">
        <v>29</v>
      </c>
      <c r="F561" s="41" t="s">
        <v>85</v>
      </c>
      <c r="G561" s="41" t="s">
        <v>24</v>
      </c>
      <c r="H561" s="42" t="s">
        <v>80</v>
      </c>
    </row>
    <row r="562" spans="2:8" ht="18" customHeight="1" x14ac:dyDescent="0.25">
      <c r="B562" s="40">
        <f>SUBTOTAL(3,C$4:C562)</f>
        <v>535</v>
      </c>
      <c r="C562" s="41">
        <v>24023692</v>
      </c>
      <c r="D562" s="41" t="s">
        <v>846</v>
      </c>
      <c r="E562" s="41" t="s">
        <v>29</v>
      </c>
      <c r="F562" s="41" t="s">
        <v>85</v>
      </c>
      <c r="G562" s="41" t="s">
        <v>24</v>
      </c>
      <c r="H562" s="42"/>
    </row>
    <row r="563" spans="2:8" ht="18" customHeight="1" x14ac:dyDescent="0.25">
      <c r="B563" s="40">
        <f>SUBTOTAL(3,C$4:C563)</f>
        <v>536</v>
      </c>
      <c r="C563" s="41">
        <v>24035057</v>
      </c>
      <c r="D563" s="41" t="s">
        <v>849</v>
      </c>
      <c r="E563" s="41" t="s">
        <v>29</v>
      </c>
      <c r="F563" s="41" t="s">
        <v>85</v>
      </c>
      <c r="G563" s="41" t="s">
        <v>24</v>
      </c>
      <c r="H563" s="42" t="s">
        <v>80</v>
      </c>
    </row>
    <row r="564" spans="2:8" ht="18" customHeight="1" x14ac:dyDescent="0.25">
      <c r="B564" s="40">
        <f>SUBTOTAL(3,C$4:C564)</f>
        <v>537</v>
      </c>
      <c r="C564" s="41">
        <v>24036104</v>
      </c>
      <c r="D564" s="41" t="s">
        <v>92</v>
      </c>
      <c r="E564" s="41" t="s">
        <v>29</v>
      </c>
      <c r="F564" s="41" t="s">
        <v>93</v>
      </c>
      <c r="G564" s="41" t="s">
        <v>24</v>
      </c>
      <c r="H564" s="42"/>
    </row>
    <row r="565" spans="2:8" ht="18" customHeight="1" x14ac:dyDescent="0.25">
      <c r="B565" s="40">
        <f>SUBTOTAL(3,C$4:C565)</f>
        <v>538</v>
      </c>
      <c r="C565" s="41">
        <v>24023129</v>
      </c>
      <c r="D565" s="41" t="s">
        <v>114</v>
      </c>
      <c r="E565" s="41" t="s">
        <v>29</v>
      </c>
      <c r="F565" s="41" t="s">
        <v>93</v>
      </c>
      <c r="G565" s="41" t="s">
        <v>24</v>
      </c>
      <c r="H565" s="42"/>
    </row>
    <row r="566" spans="2:8" ht="18" customHeight="1" x14ac:dyDescent="0.25">
      <c r="B566" s="40">
        <f>SUBTOTAL(3,C$4:C566)</f>
        <v>539</v>
      </c>
      <c r="C566" s="41">
        <v>24025081</v>
      </c>
      <c r="D566" s="41" t="s">
        <v>273</v>
      </c>
      <c r="E566" s="41" t="s">
        <v>29</v>
      </c>
      <c r="F566" s="41" t="s">
        <v>93</v>
      </c>
      <c r="G566" s="41" t="s">
        <v>24</v>
      </c>
      <c r="H566" s="42"/>
    </row>
    <row r="567" spans="2:8" ht="18" customHeight="1" x14ac:dyDescent="0.25">
      <c r="B567" s="40">
        <f>SUBTOTAL(3,C$4:C567)</f>
        <v>540</v>
      </c>
      <c r="C567" s="41">
        <v>24021218</v>
      </c>
      <c r="D567" s="41" t="s">
        <v>348</v>
      </c>
      <c r="E567" s="41" t="s">
        <v>29</v>
      </c>
      <c r="F567" s="41" t="s">
        <v>93</v>
      </c>
      <c r="G567" s="41" t="s">
        <v>24</v>
      </c>
      <c r="H567" s="42"/>
    </row>
    <row r="568" spans="2:8" ht="18" customHeight="1" x14ac:dyDescent="0.25">
      <c r="B568" s="40">
        <f>SUBTOTAL(3,C$4:C568)</f>
        <v>541</v>
      </c>
      <c r="C568" s="41">
        <v>24033959</v>
      </c>
      <c r="D568" s="41" t="s">
        <v>351</v>
      </c>
      <c r="E568" s="41" t="s">
        <v>29</v>
      </c>
      <c r="F568" s="41" t="s">
        <v>93</v>
      </c>
      <c r="G568" s="41" t="s">
        <v>24</v>
      </c>
      <c r="H568" s="42"/>
    </row>
    <row r="569" spans="2:8" ht="18" customHeight="1" x14ac:dyDescent="0.25">
      <c r="B569" s="40">
        <f>SUBTOTAL(3,C$4:C569)</f>
        <v>542</v>
      </c>
      <c r="C569" s="41">
        <v>24037382</v>
      </c>
      <c r="D569" s="41" t="s">
        <v>440</v>
      </c>
      <c r="E569" s="41" t="s">
        <v>29</v>
      </c>
      <c r="F569" s="41" t="s">
        <v>93</v>
      </c>
      <c r="G569" s="41" t="s">
        <v>24</v>
      </c>
      <c r="H569" s="42"/>
    </row>
    <row r="570" spans="2:8" ht="18" customHeight="1" x14ac:dyDescent="0.25">
      <c r="B570" s="40">
        <f>SUBTOTAL(3,C$4:C570)</f>
        <v>543</v>
      </c>
      <c r="C570" s="41">
        <v>24020019</v>
      </c>
      <c r="D570" s="41" t="s">
        <v>572</v>
      </c>
      <c r="E570" s="41" t="s">
        <v>29</v>
      </c>
      <c r="F570" s="41" t="s">
        <v>93</v>
      </c>
      <c r="G570" s="41" t="s">
        <v>24</v>
      </c>
      <c r="H570" s="42" t="s">
        <v>80</v>
      </c>
    </row>
    <row r="571" spans="2:8" ht="18" customHeight="1" x14ac:dyDescent="0.25">
      <c r="B571" s="40">
        <f>SUBTOTAL(3,C$4:C571)</f>
        <v>544</v>
      </c>
      <c r="C571" s="41">
        <v>24024783</v>
      </c>
      <c r="D571" s="41" t="s">
        <v>709</v>
      </c>
      <c r="E571" s="41" t="s">
        <v>29</v>
      </c>
      <c r="F571" s="41" t="s">
        <v>93</v>
      </c>
      <c r="G571" s="41" t="s">
        <v>24</v>
      </c>
      <c r="H571" s="42" t="s">
        <v>80</v>
      </c>
    </row>
    <row r="572" spans="2:8" ht="18" customHeight="1" x14ac:dyDescent="0.25">
      <c r="B572" s="40">
        <f>SUBTOTAL(3,C$4:C572)</f>
        <v>545</v>
      </c>
      <c r="C572" s="41">
        <v>24021348</v>
      </c>
      <c r="D572" s="41" t="s">
        <v>757</v>
      </c>
      <c r="E572" s="41" t="s">
        <v>29</v>
      </c>
      <c r="F572" s="41" t="s">
        <v>93</v>
      </c>
      <c r="G572" s="41" t="s">
        <v>24</v>
      </c>
      <c r="H572" s="42"/>
    </row>
    <row r="573" spans="2:8" ht="18" customHeight="1" x14ac:dyDescent="0.25">
      <c r="B573" s="40">
        <f>SUBTOTAL(3,C$4:C573)</f>
        <v>546</v>
      </c>
      <c r="C573" s="41">
        <v>24026527</v>
      </c>
      <c r="D573" s="41" t="s">
        <v>116</v>
      </c>
      <c r="E573" s="41" t="s">
        <v>29</v>
      </c>
      <c r="F573" s="41" t="s">
        <v>117</v>
      </c>
      <c r="G573" s="41" t="s">
        <v>24</v>
      </c>
      <c r="H573" s="42" t="s">
        <v>74</v>
      </c>
    </row>
    <row r="574" spans="2:8" ht="18" customHeight="1" x14ac:dyDescent="0.25">
      <c r="B574" s="40">
        <f>SUBTOTAL(3,C$4:C574)</f>
        <v>547</v>
      </c>
      <c r="C574" s="41">
        <v>24033232</v>
      </c>
      <c r="D574" s="41" t="s">
        <v>390</v>
      </c>
      <c r="E574" s="41" t="s">
        <v>29</v>
      </c>
      <c r="F574" s="41" t="s">
        <v>117</v>
      </c>
      <c r="G574" s="41" t="s">
        <v>24</v>
      </c>
      <c r="H574" s="42" t="s">
        <v>386</v>
      </c>
    </row>
    <row r="575" spans="2:8" ht="18" customHeight="1" x14ac:dyDescent="0.25">
      <c r="B575" s="40">
        <f>SUBTOTAL(3,C$4:C575)</f>
        <v>548</v>
      </c>
      <c r="C575" s="41">
        <v>24031641</v>
      </c>
      <c r="D575" s="41" t="s">
        <v>494</v>
      </c>
      <c r="E575" s="41" t="s">
        <v>29</v>
      </c>
      <c r="F575" s="41" t="s">
        <v>117</v>
      </c>
      <c r="G575" s="41" t="s">
        <v>24</v>
      </c>
      <c r="H575" s="42"/>
    </row>
    <row r="576" spans="2:8" ht="18" customHeight="1" x14ac:dyDescent="0.25">
      <c r="B576" s="40">
        <f>SUBTOTAL(3,C$4:C576)</f>
        <v>549</v>
      </c>
      <c r="C576" s="41">
        <v>24022289</v>
      </c>
      <c r="D576" s="41" t="s">
        <v>498</v>
      </c>
      <c r="E576" s="41" t="s">
        <v>29</v>
      </c>
      <c r="F576" s="41" t="s">
        <v>117</v>
      </c>
      <c r="G576" s="41" t="s">
        <v>24</v>
      </c>
      <c r="H576" s="42"/>
    </row>
    <row r="577" spans="2:8" ht="18" customHeight="1" x14ac:dyDescent="0.25">
      <c r="B577" s="40">
        <f>SUBTOTAL(3,C$4:C577)</f>
        <v>550</v>
      </c>
      <c r="C577" s="41">
        <v>24023439</v>
      </c>
      <c r="D577" s="41" t="s">
        <v>510</v>
      </c>
      <c r="E577" s="41" t="s">
        <v>29</v>
      </c>
      <c r="F577" s="41" t="s">
        <v>117</v>
      </c>
      <c r="G577" s="41" t="s">
        <v>24</v>
      </c>
      <c r="H577" s="42" t="s">
        <v>203</v>
      </c>
    </row>
    <row r="578" spans="2:8" ht="18" customHeight="1" x14ac:dyDescent="0.25">
      <c r="B578" s="40">
        <f>SUBTOTAL(3,C$4:C578)</f>
        <v>551</v>
      </c>
      <c r="C578" s="41">
        <v>24024187</v>
      </c>
      <c r="D578" s="41" t="s">
        <v>579</v>
      </c>
      <c r="E578" s="41" t="s">
        <v>29</v>
      </c>
      <c r="F578" s="41" t="s">
        <v>117</v>
      </c>
      <c r="G578" s="41" t="s">
        <v>24</v>
      </c>
      <c r="H578" s="42" t="s">
        <v>80</v>
      </c>
    </row>
    <row r="579" spans="2:8" ht="18" customHeight="1" x14ac:dyDescent="0.25">
      <c r="B579" s="40">
        <f>SUBTOTAL(3,C$4:C579)</f>
        <v>552</v>
      </c>
      <c r="C579" s="41">
        <v>24024838</v>
      </c>
      <c r="D579" s="41" t="s">
        <v>784</v>
      </c>
      <c r="E579" s="41" t="s">
        <v>29</v>
      </c>
      <c r="F579" s="41" t="s">
        <v>117</v>
      </c>
      <c r="G579" s="41" t="s">
        <v>24</v>
      </c>
      <c r="H579" s="42"/>
    </row>
    <row r="580" spans="2:8" ht="18" customHeight="1" x14ac:dyDescent="0.25">
      <c r="B580" s="40">
        <f>SUBTOTAL(3,C$4:C580)</f>
        <v>553</v>
      </c>
      <c r="C580" s="41">
        <v>24020867</v>
      </c>
      <c r="D580" s="41" t="s">
        <v>877</v>
      </c>
      <c r="E580" s="41" t="s">
        <v>29</v>
      </c>
      <c r="F580" s="41" t="s">
        <v>117</v>
      </c>
      <c r="G580" s="41" t="s">
        <v>24</v>
      </c>
      <c r="H580" s="42"/>
    </row>
    <row r="581" spans="2:8" ht="18" customHeight="1" x14ac:dyDescent="0.25">
      <c r="B581" s="40">
        <f>SUBTOTAL(3,C$4:C581)</f>
        <v>554</v>
      </c>
      <c r="C581" s="41">
        <v>24090284</v>
      </c>
      <c r="D581" s="41" t="s">
        <v>147</v>
      </c>
      <c r="E581" s="41" t="s">
        <v>29</v>
      </c>
      <c r="F581" s="41" t="s">
        <v>148</v>
      </c>
      <c r="G581" s="41" t="s">
        <v>28</v>
      </c>
      <c r="H581" s="42"/>
    </row>
    <row r="582" spans="2:8" ht="18" customHeight="1" x14ac:dyDescent="0.25">
      <c r="B582" s="40">
        <f>SUBTOTAL(3,C$4:C582)</f>
        <v>555</v>
      </c>
      <c r="C582" s="41">
        <v>24208169</v>
      </c>
      <c r="D582" s="41" t="s">
        <v>153</v>
      </c>
      <c r="E582" s="41" t="s">
        <v>29</v>
      </c>
      <c r="F582" s="41" t="s">
        <v>148</v>
      </c>
      <c r="G582" s="41" t="s">
        <v>28</v>
      </c>
      <c r="H582" s="42"/>
    </row>
    <row r="583" spans="2:8" ht="18" customHeight="1" x14ac:dyDescent="0.25">
      <c r="B583" s="40">
        <f>SUBTOTAL(3,C$4:C583)</f>
        <v>556</v>
      </c>
      <c r="C583" s="41">
        <v>24027567</v>
      </c>
      <c r="D583" s="41" t="s">
        <v>154</v>
      </c>
      <c r="E583" s="41" t="s">
        <v>29</v>
      </c>
      <c r="F583" s="41" t="s">
        <v>148</v>
      </c>
      <c r="G583" s="41" t="s">
        <v>24</v>
      </c>
      <c r="H583" s="42" t="s">
        <v>80</v>
      </c>
    </row>
    <row r="584" spans="2:8" ht="18" customHeight="1" x14ac:dyDescent="0.25">
      <c r="B584" s="40">
        <f>SUBTOTAL(3,C$4:C584)</f>
        <v>557</v>
      </c>
      <c r="C584" s="41">
        <v>24034581</v>
      </c>
      <c r="D584" s="41" t="s">
        <v>185</v>
      </c>
      <c r="E584" s="41" t="s">
        <v>29</v>
      </c>
      <c r="F584" s="41" t="s">
        <v>148</v>
      </c>
      <c r="G584" s="41" t="s">
        <v>24</v>
      </c>
      <c r="H584" s="42"/>
    </row>
    <row r="585" spans="2:8" ht="18" customHeight="1" x14ac:dyDescent="0.25">
      <c r="B585" s="40">
        <f>SUBTOTAL(3,C$4:C585)</f>
        <v>558</v>
      </c>
      <c r="C585" s="41">
        <v>24089127</v>
      </c>
      <c r="D585" s="41" t="s">
        <v>264</v>
      </c>
      <c r="E585" s="41" t="s">
        <v>29</v>
      </c>
      <c r="F585" s="41" t="s">
        <v>148</v>
      </c>
      <c r="G585" s="41" t="s">
        <v>28</v>
      </c>
      <c r="H585" s="42"/>
    </row>
    <row r="586" spans="2:8" ht="18" customHeight="1" x14ac:dyDescent="0.25">
      <c r="B586" s="40">
        <f>SUBTOTAL(3,C$4:C586)</f>
        <v>559</v>
      </c>
      <c r="C586" s="41">
        <v>24025533</v>
      </c>
      <c r="D586" s="41" t="s">
        <v>321</v>
      </c>
      <c r="E586" s="41" t="s">
        <v>29</v>
      </c>
      <c r="F586" s="41" t="s">
        <v>148</v>
      </c>
      <c r="G586" s="41" t="s">
        <v>24</v>
      </c>
      <c r="H586" s="42"/>
    </row>
    <row r="587" spans="2:8" ht="18" customHeight="1" x14ac:dyDescent="0.25">
      <c r="B587" s="40">
        <f>SUBTOTAL(3,C$4:C587)</f>
        <v>560</v>
      </c>
      <c r="C587" s="41">
        <v>24026831</v>
      </c>
      <c r="D587" s="41" t="s">
        <v>365</v>
      </c>
      <c r="E587" s="41" t="s">
        <v>29</v>
      </c>
      <c r="F587" s="41" t="s">
        <v>148</v>
      </c>
      <c r="G587" s="41" t="s">
        <v>24</v>
      </c>
      <c r="H587" s="42" t="s">
        <v>287</v>
      </c>
    </row>
    <row r="588" spans="2:8" ht="18" customHeight="1" x14ac:dyDescent="0.25">
      <c r="B588" s="40">
        <f>SUBTOTAL(3,C$4:C588)</f>
        <v>561</v>
      </c>
      <c r="C588" s="41">
        <v>24027770</v>
      </c>
      <c r="D588" s="41" t="s">
        <v>372</v>
      </c>
      <c r="E588" s="41" t="s">
        <v>29</v>
      </c>
      <c r="F588" s="41" t="s">
        <v>148</v>
      </c>
      <c r="G588" s="41" t="s">
        <v>24</v>
      </c>
      <c r="H588" s="42" t="s">
        <v>80</v>
      </c>
    </row>
    <row r="589" spans="2:8" ht="18" customHeight="1" x14ac:dyDescent="0.25">
      <c r="B589" s="40">
        <f>SUBTOTAL(3,C$4:C589)</f>
        <v>562</v>
      </c>
      <c r="C589" s="41">
        <v>24034714</v>
      </c>
      <c r="D589" s="41" t="s">
        <v>407</v>
      </c>
      <c r="E589" s="41" t="s">
        <v>29</v>
      </c>
      <c r="F589" s="41" t="s">
        <v>148</v>
      </c>
      <c r="G589" s="41" t="s">
        <v>24</v>
      </c>
      <c r="H589" s="42"/>
    </row>
    <row r="590" spans="2:8" ht="18" customHeight="1" x14ac:dyDescent="0.25">
      <c r="B590" s="40">
        <f>SUBTOTAL(3,C$4:C590)</f>
        <v>563</v>
      </c>
      <c r="C590" s="41">
        <v>24031842</v>
      </c>
      <c r="D590" s="41" t="s">
        <v>421</v>
      </c>
      <c r="E590" s="41" t="s">
        <v>29</v>
      </c>
      <c r="F590" s="41" t="s">
        <v>148</v>
      </c>
      <c r="G590" s="41" t="s">
        <v>24</v>
      </c>
      <c r="H590" s="42"/>
    </row>
    <row r="591" spans="2:8" ht="18" customHeight="1" x14ac:dyDescent="0.25">
      <c r="B591" s="40">
        <f>SUBTOTAL(3,C$4:C591)</f>
        <v>564</v>
      </c>
      <c r="C591" s="41">
        <v>24117923</v>
      </c>
      <c r="D591" s="41" t="s">
        <v>424</v>
      </c>
      <c r="E591" s="41" t="s">
        <v>29</v>
      </c>
      <c r="F591" s="41" t="s">
        <v>148</v>
      </c>
      <c r="G591" s="41" t="s">
        <v>28</v>
      </c>
      <c r="H591" s="42"/>
    </row>
    <row r="592" spans="2:8" ht="18" hidden="1" customHeight="1" x14ac:dyDescent="0.25">
      <c r="B592" s="40">
        <f>SUBTOTAL(3,C$4:C592)</f>
        <v>564</v>
      </c>
      <c r="C592" s="41">
        <v>24278187</v>
      </c>
      <c r="D592" s="41" t="s">
        <v>499</v>
      </c>
      <c r="E592" s="41" t="s">
        <v>29</v>
      </c>
      <c r="F592" s="41" t="s">
        <v>148</v>
      </c>
      <c r="G592" s="41" t="s">
        <v>27</v>
      </c>
      <c r="H592" s="42"/>
    </row>
    <row r="593" spans="2:8" ht="18" customHeight="1" x14ac:dyDescent="0.25">
      <c r="B593" s="40">
        <f>SUBTOTAL(3,C$4:C593)</f>
        <v>565</v>
      </c>
      <c r="C593" s="41">
        <v>24024597</v>
      </c>
      <c r="D593" s="41" t="s">
        <v>513</v>
      </c>
      <c r="E593" s="41" t="s">
        <v>29</v>
      </c>
      <c r="F593" s="41" t="s">
        <v>148</v>
      </c>
      <c r="G593" s="41" t="s">
        <v>24</v>
      </c>
      <c r="H593" s="42"/>
    </row>
    <row r="594" spans="2:8" ht="18" customHeight="1" x14ac:dyDescent="0.25">
      <c r="B594" s="40">
        <f>SUBTOTAL(3,C$4:C594)</f>
        <v>566</v>
      </c>
      <c r="C594" s="41">
        <v>24090507</v>
      </c>
      <c r="D594" s="41" t="s">
        <v>529</v>
      </c>
      <c r="E594" s="41" t="s">
        <v>29</v>
      </c>
      <c r="F594" s="41" t="s">
        <v>148</v>
      </c>
      <c r="G594" s="41" t="s">
        <v>28</v>
      </c>
      <c r="H594" s="42" t="s">
        <v>80</v>
      </c>
    </row>
    <row r="595" spans="2:8" ht="18" customHeight="1" x14ac:dyDescent="0.25">
      <c r="B595" s="40">
        <f>SUBTOTAL(3,C$4:C595)</f>
        <v>567</v>
      </c>
      <c r="C595" s="41">
        <v>24089327</v>
      </c>
      <c r="D595" s="41" t="s">
        <v>627</v>
      </c>
      <c r="E595" s="41" t="s">
        <v>29</v>
      </c>
      <c r="F595" s="41" t="s">
        <v>148</v>
      </c>
      <c r="G595" s="41" t="s">
        <v>28</v>
      </c>
      <c r="H595" s="42"/>
    </row>
    <row r="596" spans="2:8" ht="18" customHeight="1" x14ac:dyDescent="0.25">
      <c r="B596" s="40">
        <f>SUBTOTAL(3,C$4:C596)</f>
        <v>568</v>
      </c>
      <c r="C596" s="41">
        <v>24026338</v>
      </c>
      <c r="D596" s="41" t="s">
        <v>672</v>
      </c>
      <c r="E596" s="41" t="s">
        <v>29</v>
      </c>
      <c r="F596" s="41" t="s">
        <v>148</v>
      </c>
      <c r="G596" s="41" t="s">
        <v>24</v>
      </c>
      <c r="H596" s="42" t="s">
        <v>413</v>
      </c>
    </row>
    <row r="597" spans="2:8" ht="18" hidden="1" customHeight="1" x14ac:dyDescent="0.25">
      <c r="B597" s="40">
        <f>SUBTOTAL(3,C$4:C597)</f>
        <v>568</v>
      </c>
      <c r="C597" s="41">
        <v>24118153</v>
      </c>
      <c r="D597" s="41" t="s">
        <v>699</v>
      </c>
      <c r="E597" s="41" t="s">
        <v>29</v>
      </c>
      <c r="F597" s="41" t="s">
        <v>148</v>
      </c>
      <c r="G597" s="41" t="s">
        <v>27</v>
      </c>
      <c r="H597" s="42"/>
    </row>
    <row r="598" spans="2:8" ht="18" customHeight="1" x14ac:dyDescent="0.25">
      <c r="B598" s="40">
        <f>SUBTOTAL(3,C$4:C598)</f>
        <v>569</v>
      </c>
      <c r="C598" s="41">
        <v>24019741</v>
      </c>
      <c r="D598" s="41" t="s">
        <v>766</v>
      </c>
      <c r="E598" s="41" t="s">
        <v>29</v>
      </c>
      <c r="F598" s="41" t="s">
        <v>148</v>
      </c>
      <c r="G598" s="41" t="s">
        <v>24</v>
      </c>
      <c r="H598" s="42" t="s">
        <v>203</v>
      </c>
    </row>
    <row r="599" spans="2:8" ht="18" customHeight="1" x14ac:dyDescent="0.25">
      <c r="B599" s="40">
        <f>SUBTOTAL(3,C$4:C599)</f>
        <v>570</v>
      </c>
      <c r="C599" s="41">
        <v>24031475</v>
      </c>
      <c r="D599" s="41" t="s">
        <v>794</v>
      </c>
      <c r="E599" s="41" t="s">
        <v>29</v>
      </c>
      <c r="F599" s="41" t="s">
        <v>148</v>
      </c>
      <c r="G599" s="41" t="s">
        <v>24</v>
      </c>
      <c r="H599" s="42" t="s">
        <v>74</v>
      </c>
    </row>
    <row r="600" spans="2:8" ht="18" customHeight="1" x14ac:dyDescent="0.25">
      <c r="B600" s="40">
        <f>SUBTOTAL(3,C$4:C600)</f>
        <v>571</v>
      </c>
      <c r="C600" s="41">
        <v>24090724</v>
      </c>
      <c r="D600" s="41" t="s">
        <v>816</v>
      </c>
      <c r="E600" s="41" t="s">
        <v>29</v>
      </c>
      <c r="F600" s="41" t="s">
        <v>148</v>
      </c>
      <c r="G600" s="41" t="s">
        <v>28</v>
      </c>
      <c r="H600" s="42"/>
    </row>
    <row r="601" spans="2:8" ht="18" customHeight="1" x14ac:dyDescent="0.25">
      <c r="B601" s="40">
        <f>SUBTOTAL(3,C$4:C601)</f>
        <v>572</v>
      </c>
      <c r="C601" s="41">
        <v>24036729</v>
      </c>
      <c r="D601" s="41" t="s">
        <v>887</v>
      </c>
      <c r="E601" s="41" t="s">
        <v>29</v>
      </c>
      <c r="F601" s="41" t="s">
        <v>148</v>
      </c>
      <c r="G601" s="41" t="s">
        <v>24</v>
      </c>
      <c r="H601" s="42"/>
    </row>
    <row r="602" spans="2:8" ht="18" customHeight="1" x14ac:dyDescent="0.25">
      <c r="B602" s="40">
        <f>SUBTOTAL(3,C$4:C602)</f>
        <v>573</v>
      </c>
      <c r="C602" s="41">
        <v>24036997</v>
      </c>
      <c r="D602" s="41" t="s">
        <v>50</v>
      </c>
      <c r="E602" s="41" t="s">
        <v>29</v>
      </c>
      <c r="F602" s="41" t="s">
        <v>51</v>
      </c>
      <c r="G602" s="41" t="s">
        <v>24</v>
      </c>
      <c r="H602" s="42"/>
    </row>
    <row r="603" spans="2:8" ht="18" customHeight="1" x14ac:dyDescent="0.25">
      <c r="B603" s="40">
        <f>SUBTOTAL(3,C$4:C603)</f>
        <v>574</v>
      </c>
      <c r="C603" s="41">
        <v>24020369</v>
      </c>
      <c r="D603" s="41" t="s">
        <v>60</v>
      </c>
      <c r="E603" s="41" t="s">
        <v>29</v>
      </c>
      <c r="F603" s="41" t="s">
        <v>51</v>
      </c>
      <c r="G603" s="41" t="s">
        <v>24</v>
      </c>
      <c r="H603" s="42"/>
    </row>
    <row r="604" spans="2:8" ht="18" customHeight="1" x14ac:dyDescent="0.25">
      <c r="B604" s="40">
        <f>SUBTOTAL(3,C$4:C604)</f>
        <v>575</v>
      </c>
      <c r="C604" s="41">
        <v>24023828</v>
      </c>
      <c r="D604" s="41" t="s">
        <v>77</v>
      </c>
      <c r="E604" s="41" t="s">
        <v>29</v>
      </c>
      <c r="F604" s="41" t="s">
        <v>51</v>
      </c>
      <c r="G604" s="41" t="s">
        <v>26</v>
      </c>
      <c r="H604" s="42"/>
    </row>
    <row r="605" spans="2:8" ht="18" customHeight="1" x14ac:dyDescent="0.25">
      <c r="B605" s="40">
        <f>SUBTOTAL(3,C$4:C605)</f>
        <v>576</v>
      </c>
      <c r="C605" s="41">
        <v>24033593</v>
      </c>
      <c r="D605" s="41" t="s">
        <v>131</v>
      </c>
      <c r="E605" s="41" t="s">
        <v>29</v>
      </c>
      <c r="F605" s="41" t="s">
        <v>51</v>
      </c>
      <c r="G605" s="41" t="s">
        <v>24</v>
      </c>
      <c r="H605" s="42" t="s">
        <v>132</v>
      </c>
    </row>
    <row r="606" spans="2:8" ht="18" customHeight="1" x14ac:dyDescent="0.25">
      <c r="B606" s="40">
        <f>SUBTOTAL(3,C$4:C606)</f>
        <v>577</v>
      </c>
      <c r="C606" s="41">
        <v>24019330</v>
      </c>
      <c r="D606" s="41" t="s">
        <v>186</v>
      </c>
      <c r="E606" s="41" t="s">
        <v>29</v>
      </c>
      <c r="F606" s="41" t="s">
        <v>51</v>
      </c>
      <c r="G606" s="41" t="s">
        <v>24</v>
      </c>
      <c r="H606" s="42"/>
    </row>
    <row r="607" spans="2:8" ht="18" customHeight="1" x14ac:dyDescent="0.25">
      <c r="B607" s="40">
        <f>SUBTOTAL(3,C$4:C607)</f>
        <v>578</v>
      </c>
      <c r="C607" s="41">
        <v>24025531</v>
      </c>
      <c r="D607" s="41" t="s">
        <v>226</v>
      </c>
      <c r="E607" s="41" t="s">
        <v>29</v>
      </c>
      <c r="F607" s="41" t="s">
        <v>51</v>
      </c>
      <c r="G607" s="41" t="s">
        <v>24</v>
      </c>
      <c r="H607" s="42"/>
    </row>
    <row r="608" spans="2:8" ht="18" customHeight="1" x14ac:dyDescent="0.25">
      <c r="B608" s="40">
        <f>SUBTOTAL(3,C$4:C608)</f>
        <v>579</v>
      </c>
      <c r="C608" s="41">
        <v>24033028</v>
      </c>
      <c r="D608" s="41" t="s">
        <v>229</v>
      </c>
      <c r="E608" s="41" t="s">
        <v>29</v>
      </c>
      <c r="F608" s="41" t="s">
        <v>51</v>
      </c>
      <c r="G608" s="41" t="s">
        <v>24</v>
      </c>
      <c r="H608" s="42"/>
    </row>
    <row r="609" spans="2:8" ht="18" customHeight="1" x14ac:dyDescent="0.25">
      <c r="B609" s="40">
        <f>SUBTOTAL(3,C$4:C609)</f>
        <v>580</v>
      </c>
      <c r="C609" s="41">
        <v>24021523</v>
      </c>
      <c r="D609" s="41" t="s">
        <v>263</v>
      </c>
      <c r="E609" s="41" t="s">
        <v>29</v>
      </c>
      <c r="F609" s="41" t="s">
        <v>51</v>
      </c>
      <c r="G609" s="41" t="s">
        <v>26</v>
      </c>
      <c r="H609" s="42"/>
    </row>
    <row r="610" spans="2:8" ht="18" customHeight="1" x14ac:dyDescent="0.25">
      <c r="B610" s="40">
        <f>SUBTOTAL(3,C$4:C610)</f>
        <v>581</v>
      </c>
      <c r="C610" s="41">
        <v>24027046</v>
      </c>
      <c r="D610" s="41" t="s">
        <v>458</v>
      </c>
      <c r="E610" s="41" t="s">
        <v>29</v>
      </c>
      <c r="F610" s="41" t="s">
        <v>51</v>
      </c>
      <c r="G610" s="41" t="s">
        <v>24</v>
      </c>
      <c r="H610" s="42"/>
    </row>
    <row r="611" spans="2:8" ht="18" customHeight="1" x14ac:dyDescent="0.25">
      <c r="B611" s="40">
        <f>SUBTOTAL(3,C$4:C611)</f>
        <v>582</v>
      </c>
      <c r="C611" s="41">
        <v>24122102</v>
      </c>
      <c r="D611" s="41" t="s">
        <v>467</v>
      </c>
      <c r="E611" s="41" t="s">
        <v>29</v>
      </c>
      <c r="F611" s="41" t="s">
        <v>51</v>
      </c>
      <c r="G611" s="41" t="s">
        <v>24</v>
      </c>
      <c r="H611" s="42" t="s">
        <v>80</v>
      </c>
    </row>
    <row r="612" spans="2:8" ht="18" customHeight="1" x14ac:dyDescent="0.25">
      <c r="B612" s="40">
        <f>SUBTOTAL(3,C$4:C612)</f>
        <v>583</v>
      </c>
      <c r="C612" s="41">
        <v>24029750</v>
      </c>
      <c r="D612" s="41" t="s">
        <v>466</v>
      </c>
      <c r="E612" s="41" t="s">
        <v>29</v>
      </c>
      <c r="F612" s="41" t="s">
        <v>51</v>
      </c>
      <c r="G612" s="41" t="s">
        <v>24</v>
      </c>
      <c r="H612" s="42"/>
    </row>
    <row r="613" spans="2:8" ht="18" customHeight="1" x14ac:dyDescent="0.25">
      <c r="B613" s="40">
        <f>SUBTOTAL(3,C$4:C613)</f>
        <v>584</v>
      </c>
      <c r="C613" s="41">
        <v>24019394</v>
      </c>
      <c r="D613" s="41" t="s">
        <v>564</v>
      </c>
      <c r="E613" s="41" t="s">
        <v>29</v>
      </c>
      <c r="F613" s="41" t="s">
        <v>51</v>
      </c>
      <c r="G613" s="41" t="s">
        <v>24</v>
      </c>
      <c r="H613" s="42"/>
    </row>
    <row r="614" spans="2:8" ht="18" hidden="1" customHeight="1" x14ac:dyDescent="0.25">
      <c r="B614" s="40">
        <f>SUBTOTAL(3,C$4:C614)</f>
        <v>584</v>
      </c>
      <c r="C614" s="41">
        <v>24090930</v>
      </c>
      <c r="D614" s="41" t="s">
        <v>624</v>
      </c>
      <c r="E614" s="41" t="s">
        <v>29</v>
      </c>
      <c r="F614" s="41" t="s">
        <v>51</v>
      </c>
      <c r="G614" s="41" t="s">
        <v>27</v>
      </c>
      <c r="H614" s="42" t="s">
        <v>145</v>
      </c>
    </row>
    <row r="615" spans="2:8" ht="18" customHeight="1" x14ac:dyDescent="0.25">
      <c r="B615" s="40">
        <f>SUBTOTAL(3,C$4:C615)</f>
        <v>585</v>
      </c>
      <c r="C615" s="41">
        <v>24033891</v>
      </c>
      <c r="D615" s="41" t="s">
        <v>642</v>
      </c>
      <c r="E615" s="41" t="s">
        <v>29</v>
      </c>
      <c r="F615" s="41" t="s">
        <v>51</v>
      </c>
      <c r="G615" s="41" t="s">
        <v>24</v>
      </c>
      <c r="H615" s="42" t="s">
        <v>287</v>
      </c>
    </row>
    <row r="616" spans="2:8" ht="18" customHeight="1" x14ac:dyDescent="0.25">
      <c r="B616" s="40">
        <f>SUBTOTAL(3,C$4:C616)</f>
        <v>586</v>
      </c>
      <c r="C616" s="41">
        <v>24030073</v>
      </c>
      <c r="D616" s="41" t="s">
        <v>697</v>
      </c>
      <c r="E616" s="41" t="s">
        <v>29</v>
      </c>
      <c r="F616" s="41" t="s">
        <v>51</v>
      </c>
      <c r="G616" s="41" t="s">
        <v>24</v>
      </c>
      <c r="H616" s="42"/>
    </row>
    <row r="617" spans="2:8" ht="18" customHeight="1" x14ac:dyDescent="0.25">
      <c r="B617" s="40">
        <f>SUBTOTAL(3,C$4:C617)</f>
        <v>587</v>
      </c>
      <c r="C617" s="41">
        <v>24025949</v>
      </c>
      <c r="D617" s="41" t="s">
        <v>718</v>
      </c>
      <c r="E617" s="41" t="s">
        <v>29</v>
      </c>
      <c r="F617" s="41" t="s">
        <v>51</v>
      </c>
      <c r="G617" s="41" t="s">
        <v>24</v>
      </c>
      <c r="H617" s="42"/>
    </row>
    <row r="618" spans="2:8" ht="18" customHeight="1" x14ac:dyDescent="0.25">
      <c r="B618" s="40">
        <f>SUBTOTAL(3,C$4:C618)</f>
        <v>588</v>
      </c>
      <c r="C618" s="41">
        <v>24031537</v>
      </c>
      <c r="D618" s="41" t="s">
        <v>764</v>
      </c>
      <c r="E618" s="41" t="s">
        <v>29</v>
      </c>
      <c r="F618" s="41" t="s">
        <v>51</v>
      </c>
      <c r="G618" s="41" t="s">
        <v>24</v>
      </c>
      <c r="H618" s="42"/>
    </row>
    <row r="619" spans="2:8" ht="18" hidden="1" customHeight="1" x14ac:dyDescent="0.25">
      <c r="B619" s="40">
        <f>SUBTOTAL(3,C$4:C619)</f>
        <v>588</v>
      </c>
      <c r="C619" s="41">
        <v>24088657</v>
      </c>
      <c r="D619" s="41" t="s">
        <v>804</v>
      </c>
      <c r="E619" s="41" t="s">
        <v>29</v>
      </c>
      <c r="F619" s="41" t="s">
        <v>51</v>
      </c>
      <c r="G619" s="41" t="s">
        <v>27</v>
      </c>
      <c r="H619" s="42"/>
    </row>
    <row r="620" spans="2:8" ht="18" customHeight="1" x14ac:dyDescent="0.25">
      <c r="B620" s="40">
        <f>SUBTOTAL(3,C$4:C620)</f>
        <v>589</v>
      </c>
      <c r="C620" s="41">
        <v>24215544</v>
      </c>
      <c r="D620" s="41" t="s">
        <v>786</v>
      </c>
      <c r="E620" s="41" t="s">
        <v>29</v>
      </c>
      <c r="F620" s="41" t="s">
        <v>787</v>
      </c>
      <c r="G620" s="41" t="s">
        <v>26</v>
      </c>
      <c r="H620" s="42" t="s">
        <v>270</v>
      </c>
    </row>
    <row r="621" spans="2:8" ht="18" customHeight="1" x14ac:dyDescent="0.25">
      <c r="B621" s="40">
        <f>SUBTOTAL(3,C$4:C621)</f>
        <v>590</v>
      </c>
      <c r="C621" s="41">
        <v>24251083</v>
      </c>
      <c r="D621" s="41" t="s">
        <v>136</v>
      </c>
      <c r="E621" s="41" t="s">
        <v>29</v>
      </c>
      <c r="F621" s="41" t="s">
        <v>137</v>
      </c>
      <c r="G621" s="41" t="s">
        <v>24</v>
      </c>
      <c r="H621" s="42"/>
    </row>
    <row r="622" spans="2:8" ht="18" customHeight="1" x14ac:dyDescent="0.25">
      <c r="B622" s="40">
        <f>SUBTOTAL(3,C$4:C622)</f>
        <v>591</v>
      </c>
      <c r="C622" s="41">
        <v>24215629</v>
      </c>
      <c r="D622" s="41" t="s">
        <v>612</v>
      </c>
      <c r="E622" s="41" t="s">
        <v>29</v>
      </c>
      <c r="F622" s="41" t="s">
        <v>137</v>
      </c>
      <c r="G622" s="41" t="s">
        <v>26</v>
      </c>
      <c r="H622" s="42" t="s">
        <v>613</v>
      </c>
    </row>
    <row r="623" spans="2:8" ht="18" customHeight="1" x14ac:dyDescent="0.25">
      <c r="B623" s="40">
        <f>SUBTOTAL(3,C$4:C623)</f>
        <v>592</v>
      </c>
      <c r="C623" s="41">
        <v>24020507</v>
      </c>
      <c r="D623" s="41" t="s">
        <v>210</v>
      </c>
      <c r="E623" s="41" t="s">
        <v>29</v>
      </c>
      <c r="F623" s="41" t="s">
        <v>211</v>
      </c>
      <c r="G623" s="41" t="s">
        <v>24</v>
      </c>
      <c r="H623" s="42"/>
    </row>
    <row r="624" spans="2:8" ht="18" customHeight="1" x14ac:dyDescent="0.25">
      <c r="B624" s="40">
        <f>SUBTOTAL(3,C$4:C624)</f>
        <v>593</v>
      </c>
      <c r="C624" s="41">
        <v>24024925</v>
      </c>
      <c r="D624" s="41" t="s">
        <v>230</v>
      </c>
      <c r="E624" s="41" t="s">
        <v>29</v>
      </c>
      <c r="F624" s="41" t="s">
        <v>211</v>
      </c>
      <c r="G624" s="41" t="s">
        <v>24</v>
      </c>
      <c r="H624" s="42"/>
    </row>
    <row r="625" spans="2:8" ht="18" customHeight="1" x14ac:dyDescent="0.25">
      <c r="B625" s="40">
        <f>SUBTOTAL(3,C$4:C625)</f>
        <v>594</v>
      </c>
      <c r="C625" s="41">
        <v>24039886</v>
      </c>
      <c r="D625" s="41" t="s">
        <v>277</v>
      </c>
      <c r="E625" s="41" t="s">
        <v>29</v>
      </c>
      <c r="F625" s="41" t="s">
        <v>211</v>
      </c>
      <c r="G625" s="41" t="s">
        <v>24</v>
      </c>
      <c r="H625" s="42" t="s">
        <v>278</v>
      </c>
    </row>
    <row r="626" spans="2:8" ht="18" customHeight="1" x14ac:dyDescent="0.25">
      <c r="B626" s="40">
        <f>SUBTOTAL(3,C$4:C626)</f>
        <v>595</v>
      </c>
      <c r="C626" s="41">
        <v>24023041</v>
      </c>
      <c r="D626" s="41" t="s">
        <v>309</v>
      </c>
      <c r="E626" s="41" t="s">
        <v>29</v>
      </c>
      <c r="F626" s="41" t="s">
        <v>211</v>
      </c>
      <c r="G626" s="41" t="s">
        <v>26</v>
      </c>
      <c r="H626" s="42" t="s">
        <v>80</v>
      </c>
    </row>
    <row r="627" spans="2:8" ht="18" customHeight="1" x14ac:dyDescent="0.25">
      <c r="B627" s="40">
        <f>SUBTOTAL(3,C$4:C627)</f>
        <v>596</v>
      </c>
      <c r="C627" s="41">
        <v>24031058</v>
      </c>
      <c r="D627" s="41" t="s">
        <v>319</v>
      </c>
      <c r="E627" s="41" t="s">
        <v>29</v>
      </c>
      <c r="F627" s="41" t="s">
        <v>320</v>
      </c>
      <c r="G627" s="41" t="s">
        <v>26</v>
      </c>
      <c r="H627" s="42"/>
    </row>
    <row r="628" spans="2:8" ht="18" customHeight="1" x14ac:dyDescent="0.25">
      <c r="B628" s="40">
        <f>SUBTOTAL(3,C$4:C628)</f>
        <v>597</v>
      </c>
      <c r="C628" s="41">
        <v>24024587</v>
      </c>
      <c r="D628" s="41" t="s">
        <v>522</v>
      </c>
      <c r="E628" s="41" t="s">
        <v>29</v>
      </c>
      <c r="F628" s="41" t="s">
        <v>211</v>
      </c>
      <c r="G628" s="41" t="s">
        <v>24</v>
      </c>
      <c r="H628" s="42"/>
    </row>
    <row r="629" spans="2:8" ht="18" customHeight="1" x14ac:dyDescent="0.25">
      <c r="B629" s="40">
        <f>SUBTOTAL(3,C$4:C629)</f>
        <v>598</v>
      </c>
      <c r="C629" s="41">
        <v>24034457</v>
      </c>
      <c r="D629" s="41" t="s">
        <v>521</v>
      </c>
      <c r="E629" s="41" t="s">
        <v>29</v>
      </c>
      <c r="F629" s="41" t="s">
        <v>211</v>
      </c>
      <c r="G629" s="41" t="s">
        <v>24</v>
      </c>
      <c r="H629" s="42"/>
    </row>
    <row r="630" spans="2:8" ht="18" customHeight="1" x14ac:dyDescent="0.25">
      <c r="B630" s="40">
        <f>SUBTOTAL(3,C$4:C630)</f>
        <v>599</v>
      </c>
      <c r="C630" s="41">
        <v>24021584</v>
      </c>
      <c r="D630" s="41" t="s">
        <v>614</v>
      </c>
      <c r="E630" s="41" t="s">
        <v>29</v>
      </c>
      <c r="F630" s="41" t="s">
        <v>211</v>
      </c>
      <c r="G630" s="41" t="s">
        <v>24</v>
      </c>
      <c r="H630" s="42"/>
    </row>
    <row r="631" spans="2:8" ht="18" customHeight="1" x14ac:dyDescent="0.25">
      <c r="B631" s="40">
        <f>SUBTOTAL(3,C$4:C631)</f>
        <v>600</v>
      </c>
      <c r="C631" s="41">
        <v>24021217</v>
      </c>
      <c r="D631" s="41" t="s">
        <v>687</v>
      </c>
      <c r="E631" s="41" t="s">
        <v>29</v>
      </c>
      <c r="F631" s="41" t="s">
        <v>211</v>
      </c>
      <c r="G631" s="41" t="s">
        <v>24</v>
      </c>
      <c r="H631" s="42"/>
    </row>
    <row r="632" spans="2:8" ht="18" customHeight="1" x14ac:dyDescent="0.25">
      <c r="B632" s="40">
        <f>SUBTOTAL(3,C$4:C632)</f>
        <v>601</v>
      </c>
      <c r="C632" s="41">
        <v>24021222</v>
      </c>
      <c r="D632" s="41" t="s">
        <v>710</v>
      </c>
      <c r="E632" s="41" t="s">
        <v>29</v>
      </c>
      <c r="F632" s="41" t="s">
        <v>211</v>
      </c>
      <c r="G632" s="41" t="s">
        <v>24</v>
      </c>
      <c r="H632" s="42" t="s">
        <v>80</v>
      </c>
    </row>
    <row r="633" spans="2:8" ht="18" customHeight="1" x14ac:dyDescent="0.25">
      <c r="B633" s="40">
        <f>SUBTOTAL(3,C$4:C633)</f>
        <v>602</v>
      </c>
      <c r="C633" s="41">
        <v>24034601</v>
      </c>
      <c r="D633" s="41" t="s">
        <v>769</v>
      </c>
      <c r="E633" s="41" t="s">
        <v>29</v>
      </c>
      <c r="F633" s="41" t="s">
        <v>211</v>
      </c>
      <c r="G633" s="41" t="s">
        <v>24</v>
      </c>
      <c r="H633" s="42"/>
    </row>
    <row r="634" spans="2:8" ht="18" customHeight="1" x14ac:dyDescent="0.25">
      <c r="B634" s="40">
        <f>SUBTOTAL(3,C$4:C634)</f>
        <v>603</v>
      </c>
      <c r="C634" s="41">
        <v>24022491</v>
      </c>
      <c r="D634" s="41" t="s">
        <v>871</v>
      </c>
      <c r="E634" s="41" t="s">
        <v>29</v>
      </c>
      <c r="F634" s="41" t="s">
        <v>211</v>
      </c>
      <c r="G634" s="41" t="s">
        <v>24</v>
      </c>
      <c r="H634" s="42"/>
    </row>
    <row r="635" spans="2:8" ht="18" customHeight="1" x14ac:dyDescent="0.25">
      <c r="B635" s="40">
        <f>SUBTOTAL(3,C$4:C635)</f>
        <v>604</v>
      </c>
      <c r="C635" s="41">
        <v>24020314</v>
      </c>
      <c r="D635" s="41" t="s">
        <v>234</v>
      </c>
      <c r="E635" s="41" t="s">
        <v>29</v>
      </c>
      <c r="F635" s="41" t="s">
        <v>235</v>
      </c>
      <c r="G635" s="41" t="s">
        <v>24</v>
      </c>
      <c r="H635" s="42" t="s">
        <v>236</v>
      </c>
    </row>
    <row r="636" spans="2:8" ht="18" hidden="1" customHeight="1" x14ac:dyDescent="0.25">
      <c r="B636" s="40">
        <f>SUBTOTAL(3,C$4:C636)</f>
        <v>604</v>
      </c>
      <c r="C636" s="41">
        <v>24090651</v>
      </c>
      <c r="D636" s="41" t="s">
        <v>752</v>
      </c>
      <c r="E636" s="41" t="s">
        <v>29</v>
      </c>
      <c r="F636" s="41" t="s">
        <v>235</v>
      </c>
      <c r="G636" s="41" t="s">
        <v>27</v>
      </c>
      <c r="H636" s="42"/>
    </row>
    <row r="637" spans="2:8" ht="18" hidden="1" customHeight="1" x14ac:dyDescent="0.25">
      <c r="B637" s="40">
        <f>SUBTOTAL(3,C$4:C637)</f>
        <v>604</v>
      </c>
      <c r="C637" s="41">
        <v>24109219</v>
      </c>
      <c r="D637" s="41" t="s">
        <v>772</v>
      </c>
      <c r="E637" s="41" t="s">
        <v>29</v>
      </c>
      <c r="F637" s="41" t="s">
        <v>235</v>
      </c>
      <c r="G637" s="41" t="s">
        <v>27</v>
      </c>
      <c r="H637" s="42"/>
    </row>
    <row r="638" spans="2:8" ht="18" customHeight="1" x14ac:dyDescent="0.25">
      <c r="B638" s="40">
        <f>SUBTOTAL(3,C$4:C638)</f>
        <v>605</v>
      </c>
      <c r="C638" s="41">
        <v>24034609</v>
      </c>
      <c r="D638" s="41" t="s">
        <v>241</v>
      </c>
      <c r="E638" s="41" t="s">
        <v>29</v>
      </c>
      <c r="F638" s="41" t="s">
        <v>242</v>
      </c>
      <c r="G638" s="41" t="s">
        <v>24</v>
      </c>
      <c r="H638" s="42"/>
    </row>
    <row r="639" spans="2:8" ht="18" customHeight="1" x14ac:dyDescent="0.25">
      <c r="B639" s="40">
        <f>SUBTOTAL(3,C$4:C639)</f>
        <v>606</v>
      </c>
      <c r="C639" s="41">
        <v>24031788</v>
      </c>
      <c r="D639" s="41" t="s">
        <v>471</v>
      </c>
      <c r="E639" s="41" t="s">
        <v>29</v>
      </c>
      <c r="F639" s="41" t="s">
        <v>242</v>
      </c>
      <c r="G639" s="41" t="s">
        <v>24</v>
      </c>
      <c r="H639" s="42" t="s">
        <v>80</v>
      </c>
    </row>
    <row r="640" spans="2:8" ht="18" customHeight="1" x14ac:dyDescent="0.25">
      <c r="B640" s="40">
        <f>SUBTOTAL(3,C$4:C640)</f>
        <v>607</v>
      </c>
      <c r="C640" s="41">
        <v>24032136</v>
      </c>
      <c r="D640" s="41" t="s">
        <v>574</v>
      </c>
      <c r="E640" s="41" t="s">
        <v>29</v>
      </c>
      <c r="F640" s="41" t="s">
        <v>242</v>
      </c>
      <c r="G640" s="41" t="s">
        <v>26</v>
      </c>
      <c r="H640" s="42" t="s">
        <v>74</v>
      </c>
    </row>
    <row r="641" spans="2:8" ht="18" customHeight="1" x14ac:dyDescent="0.25">
      <c r="B641" s="40">
        <f>SUBTOTAL(3,C$4:C641)</f>
        <v>608</v>
      </c>
      <c r="C641" s="41">
        <v>24020170</v>
      </c>
      <c r="D641" s="41" t="s">
        <v>768</v>
      </c>
      <c r="E641" s="41" t="s">
        <v>29</v>
      </c>
      <c r="F641" s="41" t="s">
        <v>242</v>
      </c>
      <c r="G641" s="41" t="s">
        <v>24</v>
      </c>
      <c r="H641" s="42"/>
    </row>
    <row r="642" spans="2:8" ht="18" customHeight="1" x14ac:dyDescent="0.25">
      <c r="B642" s="40">
        <f>SUBTOTAL(3,C$4:C642)</f>
        <v>609</v>
      </c>
      <c r="C642" s="41">
        <v>24026036</v>
      </c>
      <c r="D642" s="41" t="s">
        <v>207</v>
      </c>
      <c r="E642" s="41" t="s">
        <v>29</v>
      </c>
      <c r="F642" s="41" t="s">
        <v>208</v>
      </c>
      <c r="G642" s="41" t="s">
        <v>26</v>
      </c>
      <c r="H642" s="42"/>
    </row>
    <row r="643" spans="2:8" ht="18" customHeight="1" x14ac:dyDescent="0.25">
      <c r="B643" s="40">
        <f>SUBTOTAL(3,C$4:C643)</f>
        <v>610</v>
      </c>
      <c r="C643" s="41">
        <v>24026195</v>
      </c>
      <c r="D643" s="41" t="s">
        <v>317</v>
      </c>
      <c r="E643" s="41" t="s">
        <v>29</v>
      </c>
      <c r="F643" s="41" t="s">
        <v>208</v>
      </c>
      <c r="G643" s="41" t="s">
        <v>26</v>
      </c>
      <c r="H643" s="42" t="s">
        <v>80</v>
      </c>
    </row>
    <row r="644" spans="2:8" ht="18" customHeight="1" x14ac:dyDescent="0.25">
      <c r="B644" s="40">
        <f>SUBTOTAL(3,C$4:C644)</f>
        <v>611</v>
      </c>
      <c r="C644" s="41">
        <v>24170981</v>
      </c>
      <c r="D644" s="41" t="s">
        <v>364</v>
      </c>
      <c r="E644" s="41" t="s">
        <v>29</v>
      </c>
      <c r="F644" s="41" t="s">
        <v>208</v>
      </c>
      <c r="G644" s="41" t="s">
        <v>26</v>
      </c>
      <c r="H644" s="42"/>
    </row>
    <row r="645" spans="2:8" ht="18" customHeight="1" x14ac:dyDescent="0.25">
      <c r="B645" s="40">
        <f>SUBTOTAL(3,C$4:C645)</f>
        <v>612</v>
      </c>
      <c r="C645" s="41">
        <v>24035372</v>
      </c>
      <c r="D645" s="41" t="s">
        <v>388</v>
      </c>
      <c r="E645" s="41" t="s">
        <v>29</v>
      </c>
      <c r="F645" s="41" t="s">
        <v>208</v>
      </c>
      <c r="G645" s="41" t="s">
        <v>26</v>
      </c>
      <c r="H645" s="42"/>
    </row>
    <row r="646" spans="2:8" ht="18" customHeight="1" x14ac:dyDescent="0.25">
      <c r="B646" s="40">
        <f>SUBTOTAL(3,C$4:C646)</f>
        <v>613</v>
      </c>
      <c r="C646" s="41">
        <v>24032598</v>
      </c>
      <c r="D646" s="41" t="s">
        <v>410</v>
      </c>
      <c r="E646" s="41" t="s">
        <v>29</v>
      </c>
      <c r="F646" s="41" t="s">
        <v>208</v>
      </c>
      <c r="G646" s="41" t="s">
        <v>26</v>
      </c>
      <c r="H646" s="42" t="s">
        <v>80</v>
      </c>
    </row>
    <row r="647" spans="2:8" ht="18" customHeight="1" x14ac:dyDescent="0.25">
      <c r="B647" s="40">
        <f>SUBTOTAL(3,C$4:C647)</f>
        <v>614</v>
      </c>
      <c r="C647" s="41">
        <v>24019255</v>
      </c>
      <c r="D647" s="41" t="s">
        <v>584</v>
      </c>
      <c r="E647" s="41" t="s">
        <v>29</v>
      </c>
      <c r="F647" s="41" t="s">
        <v>208</v>
      </c>
      <c r="G647" s="41" t="s">
        <v>26</v>
      </c>
      <c r="H647" s="42"/>
    </row>
    <row r="648" spans="2:8" ht="18" customHeight="1" x14ac:dyDescent="0.25">
      <c r="B648" s="40">
        <f>SUBTOTAL(3,C$4:C648)</f>
        <v>615</v>
      </c>
      <c r="C648" s="41">
        <v>24022743</v>
      </c>
      <c r="D648" s="41" t="s">
        <v>598</v>
      </c>
      <c r="E648" s="41" t="s">
        <v>29</v>
      </c>
      <c r="F648" s="41" t="s">
        <v>208</v>
      </c>
      <c r="G648" s="41" t="s">
        <v>26</v>
      </c>
      <c r="H648" s="42"/>
    </row>
    <row r="649" spans="2:8" ht="18" customHeight="1" x14ac:dyDescent="0.25">
      <c r="B649" s="40">
        <f>SUBTOTAL(3,C$4:C649)</f>
        <v>616</v>
      </c>
      <c r="C649" s="41">
        <v>24019664</v>
      </c>
      <c r="D649" s="41" t="s">
        <v>638</v>
      </c>
      <c r="E649" s="41" t="s">
        <v>29</v>
      </c>
      <c r="F649" s="41" t="s">
        <v>208</v>
      </c>
      <c r="G649" s="41" t="s">
        <v>26</v>
      </c>
      <c r="H649" s="42"/>
    </row>
    <row r="650" spans="2:8" ht="18" customHeight="1" x14ac:dyDescent="0.25">
      <c r="B650" s="40">
        <f>SUBTOTAL(3,C$4:C650)</f>
        <v>617</v>
      </c>
      <c r="C650" s="41">
        <v>24037105</v>
      </c>
      <c r="D650" s="41" t="s">
        <v>639</v>
      </c>
      <c r="E650" s="41" t="s">
        <v>29</v>
      </c>
      <c r="F650" s="41" t="s">
        <v>208</v>
      </c>
      <c r="G650" s="41" t="s">
        <v>26</v>
      </c>
      <c r="H650" s="42"/>
    </row>
    <row r="651" spans="2:8" ht="18" customHeight="1" x14ac:dyDescent="0.25">
      <c r="B651" s="40">
        <f>SUBTOTAL(3,C$4:C651)</f>
        <v>618</v>
      </c>
      <c r="C651" s="41">
        <v>24027194</v>
      </c>
      <c r="D651" s="41" t="s">
        <v>657</v>
      </c>
      <c r="E651" s="41" t="s">
        <v>29</v>
      </c>
      <c r="F651" s="41" t="s">
        <v>208</v>
      </c>
      <c r="G651" s="41" t="s">
        <v>26</v>
      </c>
      <c r="H651" s="42"/>
    </row>
    <row r="652" spans="2:8" ht="18" customHeight="1" x14ac:dyDescent="0.25">
      <c r="B652" s="40">
        <f>SUBTOTAL(3,C$4:C652)</f>
        <v>619</v>
      </c>
      <c r="C652" s="41">
        <v>24035796</v>
      </c>
      <c r="D652" s="41" t="s">
        <v>673</v>
      </c>
      <c r="E652" s="41" t="s">
        <v>29</v>
      </c>
      <c r="F652" s="41" t="s">
        <v>208</v>
      </c>
      <c r="G652" s="41" t="s">
        <v>26</v>
      </c>
      <c r="H652" s="42"/>
    </row>
    <row r="653" spans="2:8" ht="18" customHeight="1" x14ac:dyDescent="0.25">
      <c r="B653" s="40">
        <f>SUBTOTAL(3,C$4:C653)</f>
        <v>620</v>
      </c>
      <c r="C653" s="41">
        <v>24019885</v>
      </c>
      <c r="D653" s="41" t="s">
        <v>682</v>
      </c>
      <c r="E653" s="41" t="s">
        <v>29</v>
      </c>
      <c r="F653" s="41" t="s">
        <v>208</v>
      </c>
      <c r="G653" s="41" t="s">
        <v>26</v>
      </c>
      <c r="H653" s="42"/>
    </row>
    <row r="654" spans="2:8" ht="18" customHeight="1" x14ac:dyDescent="0.25">
      <c r="B654" s="40">
        <f>SUBTOTAL(3,C$4:C654)</f>
        <v>621</v>
      </c>
      <c r="C654" s="41">
        <v>24019589</v>
      </c>
      <c r="D654" s="41" t="s">
        <v>713</v>
      </c>
      <c r="E654" s="41" t="s">
        <v>29</v>
      </c>
      <c r="F654" s="41" t="s">
        <v>208</v>
      </c>
      <c r="G654" s="41" t="s">
        <v>26</v>
      </c>
      <c r="H654" s="42"/>
    </row>
    <row r="655" spans="2:8" ht="18" customHeight="1" x14ac:dyDescent="0.25">
      <c r="B655" s="40">
        <f>SUBTOTAL(3,C$4:C655)</f>
        <v>622</v>
      </c>
      <c r="C655" s="41">
        <v>24231272</v>
      </c>
      <c r="D655" s="41" t="s">
        <v>744</v>
      </c>
      <c r="E655" s="41" t="s">
        <v>29</v>
      </c>
      <c r="F655" s="41" t="s">
        <v>208</v>
      </c>
      <c r="G655" s="41" t="s">
        <v>26</v>
      </c>
      <c r="H655" s="42"/>
    </row>
    <row r="656" spans="2:8" ht="18" customHeight="1" x14ac:dyDescent="0.25">
      <c r="B656" s="40">
        <f>SUBTOTAL(3,C$4:C656)</f>
        <v>623</v>
      </c>
      <c r="C656" s="41">
        <v>24035502</v>
      </c>
      <c r="D656" s="41" t="s">
        <v>808</v>
      </c>
      <c r="E656" s="41" t="s">
        <v>29</v>
      </c>
      <c r="F656" s="41" t="s">
        <v>208</v>
      </c>
      <c r="G656" s="41" t="s">
        <v>26</v>
      </c>
      <c r="H656" s="42"/>
    </row>
    <row r="657" spans="2:8" ht="18" customHeight="1" x14ac:dyDescent="0.25">
      <c r="B657" s="40">
        <f>SUBTOTAL(3,C$4:C657)</f>
        <v>624</v>
      </c>
      <c r="C657" s="41">
        <v>24268933</v>
      </c>
      <c r="D657" s="41" t="s">
        <v>47</v>
      </c>
      <c r="E657" s="41" t="s">
        <v>29</v>
      </c>
      <c r="F657" s="41" t="s">
        <v>48</v>
      </c>
      <c r="G657" s="41" t="s">
        <v>26</v>
      </c>
      <c r="H657" s="42" t="s">
        <v>49</v>
      </c>
    </row>
    <row r="658" spans="2:8" ht="18" customHeight="1" x14ac:dyDescent="0.25">
      <c r="B658" s="40">
        <f>SUBTOTAL(3,C$4:C658)</f>
        <v>625</v>
      </c>
      <c r="C658" s="41">
        <v>24029447</v>
      </c>
      <c r="D658" s="41" t="s">
        <v>86</v>
      </c>
      <c r="E658" s="41" t="s">
        <v>29</v>
      </c>
      <c r="F658" s="41" t="s">
        <v>48</v>
      </c>
      <c r="G658" s="41" t="s">
        <v>26</v>
      </c>
      <c r="H658" s="42"/>
    </row>
    <row r="659" spans="2:8" ht="18" customHeight="1" x14ac:dyDescent="0.25">
      <c r="B659" s="40">
        <f>SUBTOTAL(3,C$4:C659)</f>
        <v>626</v>
      </c>
      <c r="C659" s="41">
        <v>24032674</v>
      </c>
      <c r="D659" s="41" t="s">
        <v>98</v>
      </c>
      <c r="E659" s="41" t="s">
        <v>29</v>
      </c>
      <c r="F659" s="41" t="s">
        <v>48</v>
      </c>
      <c r="G659" s="41" t="s">
        <v>26</v>
      </c>
      <c r="H659" s="42"/>
    </row>
    <row r="660" spans="2:8" ht="18" customHeight="1" x14ac:dyDescent="0.25">
      <c r="B660" s="40">
        <f>SUBTOTAL(3,C$4:C660)</f>
        <v>627</v>
      </c>
      <c r="C660" s="41">
        <v>24033599</v>
      </c>
      <c r="D660" s="41" t="s">
        <v>146</v>
      </c>
      <c r="E660" s="41" t="s">
        <v>29</v>
      </c>
      <c r="F660" s="41" t="s">
        <v>48</v>
      </c>
      <c r="G660" s="41" t="s">
        <v>26</v>
      </c>
      <c r="H660" s="42"/>
    </row>
    <row r="661" spans="2:8" ht="18" customHeight="1" x14ac:dyDescent="0.25">
      <c r="B661" s="40">
        <f>SUBTOTAL(3,C$4:C661)</f>
        <v>628</v>
      </c>
      <c r="C661" s="41">
        <v>24020634</v>
      </c>
      <c r="D661" s="41" t="s">
        <v>190</v>
      </c>
      <c r="E661" s="41" t="s">
        <v>29</v>
      </c>
      <c r="F661" s="41" t="s">
        <v>48</v>
      </c>
      <c r="G661" s="41" t="s">
        <v>26</v>
      </c>
      <c r="H661" s="42"/>
    </row>
    <row r="662" spans="2:8" ht="18" customHeight="1" x14ac:dyDescent="0.25">
      <c r="B662" s="40">
        <f>SUBTOTAL(3,C$4:C662)</f>
        <v>629</v>
      </c>
      <c r="C662" s="41">
        <v>24028890</v>
      </c>
      <c r="D662" s="41" t="s">
        <v>253</v>
      </c>
      <c r="E662" s="41" t="s">
        <v>29</v>
      </c>
      <c r="F662" s="41" t="s">
        <v>48</v>
      </c>
      <c r="G662" s="41" t="s">
        <v>26</v>
      </c>
      <c r="H662" s="42"/>
    </row>
    <row r="663" spans="2:8" ht="18" customHeight="1" x14ac:dyDescent="0.25">
      <c r="B663" s="40">
        <f>SUBTOTAL(3,C$4:C663)</f>
        <v>630</v>
      </c>
      <c r="C663" s="41">
        <v>24120451</v>
      </c>
      <c r="D663" s="41" t="s">
        <v>350</v>
      </c>
      <c r="E663" s="41" t="s">
        <v>29</v>
      </c>
      <c r="F663" s="41" t="s">
        <v>48</v>
      </c>
      <c r="G663" s="41" t="s">
        <v>26</v>
      </c>
      <c r="H663" s="42"/>
    </row>
    <row r="664" spans="2:8" ht="18" customHeight="1" x14ac:dyDescent="0.25">
      <c r="B664" s="40">
        <f>SUBTOTAL(3,C$4:C664)</f>
        <v>631</v>
      </c>
      <c r="C664" s="41">
        <v>24031827</v>
      </c>
      <c r="D664" s="41" t="s">
        <v>353</v>
      </c>
      <c r="E664" s="41" t="s">
        <v>29</v>
      </c>
      <c r="F664" s="41" t="s">
        <v>48</v>
      </c>
      <c r="G664" s="41" t="s">
        <v>26</v>
      </c>
      <c r="H664" s="42"/>
    </row>
    <row r="665" spans="2:8" ht="18" customHeight="1" x14ac:dyDescent="0.25">
      <c r="B665" s="40">
        <f>SUBTOTAL(3,C$4:C665)</f>
        <v>632</v>
      </c>
      <c r="C665" s="41">
        <v>24029274</v>
      </c>
      <c r="D665" s="41" t="s">
        <v>417</v>
      </c>
      <c r="E665" s="41" t="s">
        <v>29</v>
      </c>
      <c r="F665" s="41" t="s">
        <v>48</v>
      </c>
      <c r="G665" s="41" t="s">
        <v>26</v>
      </c>
      <c r="H665" s="42"/>
    </row>
    <row r="666" spans="2:8" ht="18" customHeight="1" x14ac:dyDescent="0.25">
      <c r="B666" s="40">
        <f>SUBTOTAL(3,C$4:C666)</f>
        <v>633</v>
      </c>
      <c r="C666" s="41">
        <v>24031634</v>
      </c>
      <c r="D666" s="41" t="s">
        <v>548</v>
      </c>
      <c r="E666" s="41" t="s">
        <v>29</v>
      </c>
      <c r="F666" s="41" t="s">
        <v>48</v>
      </c>
      <c r="G666" s="41" t="s">
        <v>26</v>
      </c>
      <c r="H666" s="42"/>
    </row>
    <row r="667" spans="2:8" ht="18" customHeight="1" x14ac:dyDescent="0.25">
      <c r="B667" s="40">
        <f>SUBTOTAL(3,C$4:C667)</f>
        <v>634</v>
      </c>
      <c r="C667" s="41">
        <v>24170967</v>
      </c>
      <c r="D667" s="41" t="s">
        <v>631</v>
      </c>
      <c r="E667" s="41" t="s">
        <v>29</v>
      </c>
      <c r="F667" s="41" t="s">
        <v>48</v>
      </c>
      <c r="G667" s="41" t="s">
        <v>26</v>
      </c>
      <c r="H667" s="42"/>
    </row>
    <row r="668" spans="2:8" ht="18" customHeight="1" x14ac:dyDescent="0.25">
      <c r="B668" s="40">
        <f>SUBTOTAL(3,C$4:C668)</f>
        <v>635</v>
      </c>
      <c r="C668" s="41">
        <v>24249222</v>
      </c>
      <c r="D668" s="41" t="s">
        <v>681</v>
      </c>
      <c r="E668" s="41" t="s">
        <v>29</v>
      </c>
      <c r="F668" s="41" t="s">
        <v>48</v>
      </c>
      <c r="G668" s="41" t="s">
        <v>26</v>
      </c>
      <c r="H668" s="42"/>
    </row>
    <row r="669" spans="2:8" ht="18" customHeight="1" x14ac:dyDescent="0.25">
      <c r="B669" s="40">
        <f>SUBTOTAL(3,C$4:C669)</f>
        <v>636</v>
      </c>
      <c r="C669" s="41">
        <v>24020922</v>
      </c>
      <c r="D669" s="41" t="s">
        <v>751</v>
      </c>
      <c r="E669" s="41" t="s">
        <v>29</v>
      </c>
      <c r="F669" s="41" t="s">
        <v>48</v>
      </c>
      <c r="G669" s="41" t="s">
        <v>26</v>
      </c>
      <c r="H669" s="42"/>
    </row>
    <row r="670" spans="2:8" ht="18" customHeight="1" x14ac:dyDescent="0.25">
      <c r="B670" s="40">
        <f>SUBTOTAL(3,C$4:C670)</f>
        <v>637</v>
      </c>
      <c r="C670" s="41">
        <v>24027825</v>
      </c>
      <c r="D670" s="41" t="s">
        <v>763</v>
      </c>
      <c r="E670" s="41" t="s">
        <v>29</v>
      </c>
      <c r="F670" s="41" t="s">
        <v>48</v>
      </c>
      <c r="G670" s="41" t="s">
        <v>26</v>
      </c>
      <c r="H670" s="42" t="s">
        <v>80</v>
      </c>
    </row>
    <row r="671" spans="2:8" ht="18" customHeight="1" x14ac:dyDescent="0.25">
      <c r="B671" s="40">
        <f>SUBTOTAL(3,C$4:C671)</f>
        <v>638</v>
      </c>
      <c r="C671" s="41">
        <v>24243742</v>
      </c>
      <c r="D671" s="41" t="s">
        <v>855</v>
      </c>
      <c r="E671" s="41" t="s">
        <v>29</v>
      </c>
      <c r="F671" s="41" t="s">
        <v>48</v>
      </c>
      <c r="G671" s="41" t="s">
        <v>26</v>
      </c>
      <c r="H671" s="42"/>
    </row>
    <row r="672" spans="2:8" ht="18" customHeight="1" x14ac:dyDescent="0.25">
      <c r="B672" s="40">
        <f>SUBTOTAL(3,C$4:C672)</f>
        <v>639</v>
      </c>
      <c r="C672" s="41">
        <v>24121937</v>
      </c>
      <c r="D672" s="41" t="s">
        <v>122</v>
      </c>
      <c r="E672" s="41" t="s">
        <v>29</v>
      </c>
      <c r="F672" s="41" t="s">
        <v>123</v>
      </c>
      <c r="G672" s="41" t="s">
        <v>26</v>
      </c>
      <c r="H672" s="42"/>
    </row>
    <row r="673" spans="2:8" ht="18" customHeight="1" x14ac:dyDescent="0.25">
      <c r="B673" s="40">
        <f>SUBTOTAL(3,C$4:C673)</f>
        <v>640</v>
      </c>
      <c r="C673" s="41">
        <v>24372007</v>
      </c>
      <c r="D673" s="41" t="s">
        <v>215</v>
      </c>
      <c r="E673" s="41" t="s">
        <v>29</v>
      </c>
      <c r="F673" s="41" t="s">
        <v>123</v>
      </c>
      <c r="G673" s="41" t="s">
        <v>26</v>
      </c>
      <c r="H673" s="42"/>
    </row>
    <row r="674" spans="2:8" ht="18" customHeight="1" x14ac:dyDescent="0.25">
      <c r="B674" s="40">
        <f>SUBTOTAL(3,C$4:C674)</f>
        <v>641</v>
      </c>
      <c r="C674" s="41">
        <v>24036152</v>
      </c>
      <c r="D674" s="41" t="s">
        <v>361</v>
      </c>
      <c r="E674" s="41" t="s">
        <v>29</v>
      </c>
      <c r="F674" s="41" t="s">
        <v>123</v>
      </c>
      <c r="G674" s="41" t="s">
        <v>26</v>
      </c>
      <c r="H674" s="42"/>
    </row>
    <row r="675" spans="2:8" ht="18" customHeight="1" x14ac:dyDescent="0.25">
      <c r="B675" s="40">
        <f>SUBTOTAL(3,C$4:C675)</f>
        <v>642</v>
      </c>
      <c r="C675" s="41">
        <v>24258964</v>
      </c>
      <c r="D675" s="41" t="s">
        <v>412</v>
      </c>
      <c r="E675" s="41" t="s">
        <v>29</v>
      </c>
      <c r="F675" s="41" t="s">
        <v>123</v>
      </c>
      <c r="G675" s="41" t="s">
        <v>26</v>
      </c>
      <c r="H675" s="42" t="s">
        <v>413</v>
      </c>
    </row>
    <row r="676" spans="2:8" ht="18" customHeight="1" x14ac:dyDescent="0.25">
      <c r="B676" s="40">
        <f>SUBTOTAL(3,C$4:C676)</f>
        <v>643</v>
      </c>
      <c r="C676" s="41">
        <v>24024212</v>
      </c>
      <c r="D676" s="41" t="s">
        <v>473</v>
      </c>
      <c r="E676" s="41" t="s">
        <v>29</v>
      </c>
      <c r="F676" s="41" t="s">
        <v>123</v>
      </c>
      <c r="G676" s="41" t="s">
        <v>26</v>
      </c>
      <c r="H676" s="42" t="s">
        <v>38</v>
      </c>
    </row>
    <row r="677" spans="2:8" ht="18" customHeight="1" x14ac:dyDescent="0.25">
      <c r="B677" s="40">
        <f>SUBTOTAL(3,C$4:C677)</f>
        <v>644</v>
      </c>
      <c r="C677" s="41">
        <v>24037485</v>
      </c>
      <c r="D677" s="41" t="s">
        <v>546</v>
      </c>
      <c r="E677" s="41" t="s">
        <v>29</v>
      </c>
      <c r="F677" s="41" t="s">
        <v>123</v>
      </c>
      <c r="G677" s="41" t="s">
        <v>26</v>
      </c>
      <c r="H677" s="42"/>
    </row>
    <row r="678" spans="2:8" ht="18" customHeight="1" x14ac:dyDescent="0.25">
      <c r="B678" s="40">
        <f>SUBTOTAL(3,C$4:C678)</f>
        <v>645</v>
      </c>
      <c r="C678" s="41">
        <v>24029439</v>
      </c>
      <c r="D678" s="41" t="s">
        <v>595</v>
      </c>
      <c r="E678" s="41" t="s">
        <v>29</v>
      </c>
      <c r="F678" s="41" t="s">
        <v>123</v>
      </c>
      <c r="G678" s="41" t="s">
        <v>26</v>
      </c>
      <c r="H678" s="42"/>
    </row>
    <row r="679" spans="2:8" ht="18" customHeight="1" x14ac:dyDescent="0.25">
      <c r="B679" s="40">
        <f>SUBTOTAL(3,C$4:C679)</f>
        <v>646</v>
      </c>
      <c r="C679" s="41">
        <v>24215692</v>
      </c>
      <c r="D679" s="41" t="s">
        <v>601</v>
      </c>
      <c r="E679" s="41" t="s">
        <v>29</v>
      </c>
      <c r="F679" s="41" t="s">
        <v>123</v>
      </c>
      <c r="G679" s="41" t="s">
        <v>26</v>
      </c>
      <c r="H679" s="42"/>
    </row>
    <row r="680" spans="2:8" ht="18" customHeight="1" x14ac:dyDescent="0.25">
      <c r="B680" s="40">
        <f>SUBTOTAL(3,C$4:C680)</f>
        <v>647</v>
      </c>
      <c r="C680" s="41">
        <v>24023695</v>
      </c>
      <c r="D680" s="41" t="s">
        <v>611</v>
      </c>
      <c r="E680" s="41" t="s">
        <v>29</v>
      </c>
      <c r="F680" s="41" t="s">
        <v>123</v>
      </c>
      <c r="G680" s="41" t="s">
        <v>26</v>
      </c>
      <c r="H680" s="42"/>
    </row>
    <row r="681" spans="2:8" ht="18" customHeight="1" x14ac:dyDescent="0.25">
      <c r="B681" s="40">
        <f>SUBTOTAL(3,C$4:C681)</f>
        <v>648</v>
      </c>
      <c r="C681" s="41">
        <v>24026666</v>
      </c>
      <c r="D681" s="41" t="s">
        <v>619</v>
      </c>
      <c r="E681" s="41" t="s">
        <v>29</v>
      </c>
      <c r="F681" s="41" t="s">
        <v>123</v>
      </c>
      <c r="G681" s="41" t="s">
        <v>26</v>
      </c>
      <c r="H681" s="42"/>
    </row>
    <row r="682" spans="2:8" ht="18" customHeight="1" x14ac:dyDescent="0.25">
      <c r="B682" s="40">
        <f>SUBTOTAL(3,C$4:C682)</f>
        <v>649</v>
      </c>
      <c r="C682" s="41">
        <v>24121774</v>
      </c>
      <c r="D682" s="41" t="s">
        <v>644</v>
      </c>
      <c r="E682" s="41" t="s">
        <v>29</v>
      </c>
      <c r="F682" s="41" t="s">
        <v>123</v>
      </c>
      <c r="G682" s="41" t="s">
        <v>26</v>
      </c>
      <c r="H682" s="42"/>
    </row>
    <row r="683" spans="2:8" ht="18" customHeight="1" x14ac:dyDescent="0.25">
      <c r="B683" s="40">
        <f>SUBTOTAL(3,C$4:C683)</f>
        <v>650</v>
      </c>
      <c r="C683" s="41">
        <v>24021284</v>
      </c>
      <c r="D683" s="41" t="s">
        <v>727</v>
      </c>
      <c r="E683" s="41" t="s">
        <v>29</v>
      </c>
      <c r="F683" s="41" t="s">
        <v>123</v>
      </c>
      <c r="G683" s="41" t="s">
        <v>26</v>
      </c>
      <c r="H683" s="42"/>
    </row>
    <row r="684" spans="2:8" ht="18" customHeight="1" x14ac:dyDescent="0.25">
      <c r="B684" s="40">
        <f>SUBTOTAL(3,C$4:C684)</f>
        <v>651</v>
      </c>
      <c r="C684" s="41">
        <v>24030374</v>
      </c>
      <c r="D684" s="41" t="s">
        <v>736</v>
      </c>
      <c r="E684" s="41" t="s">
        <v>29</v>
      </c>
      <c r="F684" s="41" t="s">
        <v>123</v>
      </c>
      <c r="G684" s="41" t="s">
        <v>26</v>
      </c>
      <c r="H684" s="42"/>
    </row>
    <row r="685" spans="2:8" ht="18" customHeight="1" x14ac:dyDescent="0.25">
      <c r="B685" s="40">
        <f>SUBTOTAL(3,C$4:C685)</f>
        <v>652</v>
      </c>
      <c r="C685" s="41">
        <v>24028492</v>
      </c>
      <c r="D685" s="41" t="s">
        <v>805</v>
      </c>
      <c r="E685" s="41" t="s">
        <v>29</v>
      </c>
      <c r="F685" s="41" t="s">
        <v>123</v>
      </c>
      <c r="G685" s="41" t="s">
        <v>26</v>
      </c>
      <c r="H685" s="42"/>
    </row>
    <row r="686" spans="2:8" ht="18" customHeight="1" x14ac:dyDescent="0.25">
      <c r="B686" s="40">
        <f>SUBTOTAL(3,C$4:C686)</f>
        <v>653</v>
      </c>
      <c r="C686" s="41">
        <v>24019315</v>
      </c>
      <c r="D686" s="41" t="s">
        <v>822</v>
      </c>
      <c r="E686" s="41" t="s">
        <v>29</v>
      </c>
      <c r="F686" s="41" t="s">
        <v>123</v>
      </c>
      <c r="G686" s="41" t="s">
        <v>26</v>
      </c>
      <c r="H686" s="42"/>
    </row>
    <row r="687" spans="2:8" ht="18" customHeight="1" x14ac:dyDescent="0.25">
      <c r="B687" s="40">
        <f>SUBTOTAL(3,C$4:C687)</f>
        <v>654</v>
      </c>
      <c r="C687" s="41">
        <v>24023671</v>
      </c>
      <c r="D687" s="41" t="s">
        <v>825</v>
      </c>
      <c r="E687" s="41" t="s">
        <v>29</v>
      </c>
      <c r="F687" s="41" t="s">
        <v>123</v>
      </c>
      <c r="G687" s="41" t="s">
        <v>26</v>
      </c>
      <c r="H687" s="42"/>
    </row>
    <row r="688" spans="2:8" ht="18" customHeight="1" x14ac:dyDescent="0.25">
      <c r="B688" s="40">
        <f>SUBTOTAL(3,C$4:C688)</f>
        <v>655</v>
      </c>
      <c r="C688" s="41">
        <v>24039266</v>
      </c>
      <c r="D688" s="41" t="s">
        <v>880</v>
      </c>
      <c r="E688" s="41" t="s">
        <v>29</v>
      </c>
      <c r="F688" s="41" t="s">
        <v>123</v>
      </c>
      <c r="G688" s="41" t="s">
        <v>26</v>
      </c>
      <c r="H688" s="42"/>
    </row>
    <row r="689" spans="2:8" ht="18" customHeight="1" x14ac:dyDescent="0.25">
      <c r="B689" s="40">
        <f>SUBTOTAL(3,C$4:C689)</f>
        <v>656</v>
      </c>
      <c r="C689" s="41">
        <v>24020834</v>
      </c>
      <c r="D689" s="41" t="s">
        <v>168</v>
      </c>
      <c r="E689" s="41" t="s">
        <v>29</v>
      </c>
      <c r="F689" s="41" t="s">
        <v>169</v>
      </c>
      <c r="G689" s="41" t="s">
        <v>24</v>
      </c>
      <c r="H689" s="42"/>
    </row>
    <row r="690" spans="2:8" ht="18" customHeight="1" x14ac:dyDescent="0.25">
      <c r="B690" s="40">
        <f>SUBTOTAL(3,C$4:C690)</f>
        <v>657</v>
      </c>
      <c r="C690" s="41">
        <v>24020315</v>
      </c>
      <c r="D690" s="41" t="s">
        <v>193</v>
      </c>
      <c r="E690" s="41" t="s">
        <v>29</v>
      </c>
      <c r="F690" s="41" t="s">
        <v>169</v>
      </c>
      <c r="G690" s="41" t="s">
        <v>26</v>
      </c>
      <c r="H690" s="42"/>
    </row>
    <row r="691" spans="2:8" ht="18" customHeight="1" x14ac:dyDescent="0.25">
      <c r="B691" s="40">
        <f>SUBTOTAL(3,C$4:C691)</f>
        <v>658</v>
      </c>
      <c r="C691" s="41">
        <v>24032423</v>
      </c>
      <c r="D691" s="41" t="s">
        <v>219</v>
      </c>
      <c r="E691" s="41" t="s">
        <v>29</v>
      </c>
      <c r="F691" s="41" t="s">
        <v>169</v>
      </c>
      <c r="G691" s="41" t="s">
        <v>26</v>
      </c>
      <c r="H691" s="42"/>
    </row>
    <row r="692" spans="2:8" ht="18" customHeight="1" x14ac:dyDescent="0.25">
      <c r="B692" s="40">
        <f>SUBTOTAL(3,C$4:C692)</f>
        <v>659</v>
      </c>
      <c r="C692" s="41">
        <v>24026908</v>
      </c>
      <c r="D692" s="41" t="s">
        <v>248</v>
      </c>
      <c r="E692" s="41" t="s">
        <v>29</v>
      </c>
      <c r="F692" s="41" t="s">
        <v>169</v>
      </c>
      <c r="G692" s="41" t="s">
        <v>26</v>
      </c>
      <c r="H692" s="42"/>
    </row>
    <row r="693" spans="2:8" ht="18" customHeight="1" x14ac:dyDescent="0.25">
      <c r="B693" s="40">
        <f>SUBTOTAL(3,C$4:C693)</f>
        <v>660</v>
      </c>
      <c r="C693" s="41">
        <v>24020641</v>
      </c>
      <c r="D693" s="41" t="s">
        <v>336</v>
      </c>
      <c r="E693" s="41" t="s">
        <v>29</v>
      </c>
      <c r="F693" s="41" t="s">
        <v>169</v>
      </c>
      <c r="G693" s="41" t="s">
        <v>26</v>
      </c>
      <c r="H693" s="42"/>
    </row>
    <row r="694" spans="2:8" ht="18" customHeight="1" x14ac:dyDescent="0.25">
      <c r="B694" s="40">
        <f>SUBTOTAL(3,C$4:C694)</f>
        <v>661</v>
      </c>
      <c r="C694" s="41">
        <v>24237202</v>
      </c>
      <c r="D694" s="41" t="s">
        <v>457</v>
      </c>
      <c r="E694" s="41" t="s">
        <v>29</v>
      </c>
      <c r="F694" s="41" t="s">
        <v>169</v>
      </c>
      <c r="G694" s="41" t="s">
        <v>26</v>
      </c>
      <c r="H694" s="42"/>
    </row>
    <row r="695" spans="2:8" ht="18" customHeight="1" x14ac:dyDescent="0.25">
      <c r="B695" s="40">
        <f>SUBTOTAL(3,C$4:C695)</f>
        <v>662</v>
      </c>
      <c r="C695" s="41">
        <v>24030679</v>
      </c>
      <c r="D695" s="41" t="s">
        <v>585</v>
      </c>
      <c r="E695" s="41" t="s">
        <v>29</v>
      </c>
      <c r="F695" s="41" t="s">
        <v>169</v>
      </c>
      <c r="G695" s="41" t="s">
        <v>26</v>
      </c>
      <c r="H695" s="42"/>
    </row>
    <row r="696" spans="2:8" ht="18" customHeight="1" x14ac:dyDescent="0.25">
      <c r="B696" s="40">
        <f>SUBTOTAL(3,C$4:C696)</f>
        <v>663</v>
      </c>
      <c r="C696" s="41">
        <v>24036342</v>
      </c>
      <c r="D696" s="41" t="s">
        <v>656</v>
      </c>
      <c r="E696" s="41" t="s">
        <v>29</v>
      </c>
      <c r="F696" s="41" t="s">
        <v>169</v>
      </c>
      <c r="G696" s="41" t="s">
        <v>26</v>
      </c>
      <c r="H696" s="42"/>
    </row>
    <row r="697" spans="2:8" ht="18" customHeight="1" x14ac:dyDescent="0.25">
      <c r="B697" s="40">
        <f>SUBTOTAL(3,C$4:C697)</f>
        <v>664</v>
      </c>
      <c r="C697" s="41">
        <v>24027628</v>
      </c>
      <c r="D697" s="41" t="s">
        <v>664</v>
      </c>
      <c r="E697" s="41" t="s">
        <v>29</v>
      </c>
      <c r="F697" s="41" t="s">
        <v>169</v>
      </c>
      <c r="G697" s="41" t="s">
        <v>26</v>
      </c>
      <c r="H697" s="42"/>
    </row>
    <row r="698" spans="2:8" ht="18" customHeight="1" x14ac:dyDescent="0.25">
      <c r="B698" s="40">
        <f>SUBTOTAL(3,C$4:C698)</f>
        <v>665</v>
      </c>
      <c r="C698" s="41">
        <v>24029566</v>
      </c>
      <c r="D698" s="41" t="s">
        <v>731</v>
      </c>
      <c r="E698" s="41" t="s">
        <v>29</v>
      </c>
      <c r="F698" s="41" t="s">
        <v>169</v>
      </c>
      <c r="G698" s="41" t="s">
        <v>26</v>
      </c>
      <c r="H698" s="42"/>
    </row>
    <row r="699" spans="2:8" ht="18" customHeight="1" x14ac:dyDescent="0.25">
      <c r="B699" s="40">
        <f>SUBTOTAL(3,C$4:C699)</f>
        <v>666</v>
      </c>
      <c r="C699" s="41">
        <v>24025406</v>
      </c>
      <c r="D699" s="41" t="s">
        <v>771</v>
      </c>
      <c r="E699" s="41" t="s">
        <v>29</v>
      </c>
      <c r="F699" s="41" t="s">
        <v>169</v>
      </c>
      <c r="G699" s="41" t="s">
        <v>26</v>
      </c>
      <c r="H699" s="42"/>
    </row>
    <row r="700" spans="2:8" ht="18" customHeight="1" x14ac:dyDescent="0.25">
      <c r="B700" s="40">
        <f>SUBTOTAL(3,C$4:C700)</f>
        <v>667</v>
      </c>
      <c r="C700" s="41">
        <v>24022891</v>
      </c>
      <c r="D700" s="41" t="s">
        <v>795</v>
      </c>
      <c r="E700" s="41" t="s">
        <v>29</v>
      </c>
      <c r="F700" s="41" t="s">
        <v>169</v>
      </c>
      <c r="G700" s="41" t="s">
        <v>26</v>
      </c>
      <c r="H700" s="42"/>
    </row>
    <row r="701" spans="2:8" ht="18" customHeight="1" x14ac:dyDescent="0.25">
      <c r="B701" s="40">
        <f>SUBTOTAL(3,C$4:C701)</f>
        <v>668</v>
      </c>
      <c r="C701" s="41">
        <v>24030729</v>
      </c>
      <c r="D701" s="41" t="s">
        <v>800</v>
      </c>
      <c r="E701" s="41" t="s">
        <v>29</v>
      </c>
      <c r="F701" s="41" t="s">
        <v>169</v>
      </c>
      <c r="G701" s="41" t="s">
        <v>26</v>
      </c>
      <c r="H701" s="42"/>
    </row>
    <row r="702" spans="2:8" ht="18" customHeight="1" x14ac:dyDescent="0.25">
      <c r="B702" s="40">
        <f>SUBTOTAL(3,C$4:C702)</f>
        <v>669</v>
      </c>
      <c r="C702" s="41">
        <v>24023646</v>
      </c>
      <c r="D702" s="41" t="s">
        <v>876</v>
      </c>
      <c r="E702" s="41" t="s">
        <v>29</v>
      </c>
      <c r="F702" s="41" t="s">
        <v>169</v>
      </c>
      <c r="G702" s="41" t="s">
        <v>26</v>
      </c>
      <c r="H702" s="42" t="s">
        <v>270</v>
      </c>
    </row>
    <row r="703" spans="2:8" ht="18" customHeight="1" x14ac:dyDescent="0.25">
      <c r="B703" s="40">
        <f>SUBTOTAL(3,C$4:C703)</f>
        <v>670</v>
      </c>
      <c r="C703" s="41">
        <v>24020145</v>
      </c>
      <c r="D703" s="41" t="s">
        <v>157</v>
      </c>
      <c r="E703" s="41" t="s">
        <v>29</v>
      </c>
      <c r="F703" s="41" t="s">
        <v>158</v>
      </c>
      <c r="G703" s="41" t="s">
        <v>26</v>
      </c>
      <c r="H703" s="42"/>
    </row>
    <row r="704" spans="2:8" ht="18" customHeight="1" x14ac:dyDescent="0.25">
      <c r="B704" s="40">
        <f>SUBTOTAL(3,C$4:C704)</f>
        <v>671</v>
      </c>
      <c r="C704" s="41">
        <v>24024283</v>
      </c>
      <c r="D704" s="41" t="s">
        <v>220</v>
      </c>
      <c r="E704" s="41" t="s">
        <v>29</v>
      </c>
      <c r="F704" s="41" t="s">
        <v>158</v>
      </c>
      <c r="G704" s="41" t="s">
        <v>26</v>
      </c>
      <c r="H704" s="42"/>
    </row>
    <row r="705" spans="2:8" ht="18" customHeight="1" x14ac:dyDescent="0.25">
      <c r="B705" s="40">
        <f>SUBTOTAL(3,C$4:C705)</f>
        <v>672</v>
      </c>
      <c r="C705" s="41">
        <v>24237117</v>
      </c>
      <c r="D705" s="41" t="s">
        <v>274</v>
      </c>
      <c r="E705" s="41" t="s">
        <v>29</v>
      </c>
      <c r="F705" s="41" t="s">
        <v>158</v>
      </c>
      <c r="G705" s="41" t="s">
        <v>26</v>
      </c>
      <c r="H705" s="42"/>
    </row>
    <row r="706" spans="2:8" ht="18" customHeight="1" x14ac:dyDescent="0.25">
      <c r="B706" s="40">
        <f>SUBTOTAL(3,C$4:C706)</f>
        <v>673</v>
      </c>
      <c r="C706" s="41">
        <v>24032045</v>
      </c>
      <c r="D706" s="41" t="s">
        <v>367</v>
      </c>
      <c r="E706" s="41" t="s">
        <v>29</v>
      </c>
      <c r="F706" s="41" t="s">
        <v>158</v>
      </c>
      <c r="G706" s="41" t="s">
        <v>26</v>
      </c>
      <c r="H706" s="42"/>
    </row>
    <row r="707" spans="2:8" ht="18" customHeight="1" x14ac:dyDescent="0.25">
      <c r="B707" s="40">
        <f>SUBTOTAL(3,C$4:C707)</f>
        <v>674</v>
      </c>
      <c r="C707" s="41">
        <v>24262317</v>
      </c>
      <c r="D707" s="41" t="s">
        <v>414</v>
      </c>
      <c r="E707" s="41" t="s">
        <v>29</v>
      </c>
      <c r="F707" s="41" t="s">
        <v>158</v>
      </c>
      <c r="G707" s="41" t="s">
        <v>26</v>
      </c>
      <c r="H707" s="42"/>
    </row>
    <row r="708" spans="2:8" ht="18" customHeight="1" x14ac:dyDescent="0.25">
      <c r="B708" s="40">
        <f>SUBTOTAL(3,C$4:C708)</f>
        <v>675</v>
      </c>
      <c r="C708" s="41">
        <v>24025356</v>
      </c>
      <c r="D708" s="41" t="s">
        <v>441</v>
      </c>
      <c r="E708" s="41" t="s">
        <v>29</v>
      </c>
      <c r="F708" s="41" t="s">
        <v>158</v>
      </c>
      <c r="G708" s="41" t="s">
        <v>26</v>
      </c>
      <c r="H708" s="42"/>
    </row>
    <row r="709" spans="2:8" ht="18" customHeight="1" x14ac:dyDescent="0.25">
      <c r="B709" s="40">
        <f>SUBTOTAL(3,C$4:C709)</f>
        <v>676</v>
      </c>
      <c r="C709" s="41">
        <v>24033198</v>
      </c>
      <c r="D709" s="41" t="s">
        <v>490</v>
      </c>
      <c r="E709" s="41" t="s">
        <v>29</v>
      </c>
      <c r="F709" s="41" t="s">
        <v>158</v>
      </c>
      <c r="G709" s="41" t="s">
        <v>26</v>
      </c>
      <c r="H709" s="42"/>
    </row>
    <row r="710" spans="2:8" ht="18" customHeight="1" x14ac:dyDescent="0.25">
      <c r="B710" s="40">
        <f>SUBTOTAL(3,C$4:C710)</f>
        <v>677</v>
      </c>
      <c r="C710" s="41">
        <v>24034370</v>
      </c>
      <c r="D710" s="41" t="s">
        <v>545</v>
      </c>
      <c r="E710" s="41" t="s">
        <v>29</v>
      </c>
      <c r="F710" s="41" t="s">
        <v>158</v>
      </c>
      <c r="G710" s="41" t="s">
        <v>26</v>
      </c>
      <c r="H710" s="42"/>
    </row>
    <row r="711" spans="2:8" ht="18" customHeight="1" x14ac:dyDescent="0.25">
      <c r="B711" s="40">
        <f>SUBTOTAL(3,C$4:C711)</f>
        <v>678</v>
      </c>
      <c r="C711" s="41">
        <v>24031010</v>
      </c>
      <c r="D711" s="41" t="s">
        <v>580</v>
      </c>
      <c r="E711" s="41" t="s">
        <v>29</v>
      </c>
      <c r="F711" s="41" t="s">
        <v>158</v>
      </c>
      <c r="G711" s="41" t="s">
        <v>26</v>
      </c>
      <c r="H711" s="42"/>
    </row>
    <row r="712" spans="2:8" ht="18" customHeight="1" x14ac:dyDescent="0.25">
      <c r="B712" s="40">
        <f>SUBTOTAL(3,C$4:C712)</f>
        <v>679</v>
      </c>
      <c r="C712" s="41">
        <v>24030710</v>
      </c>
      <c r="D712" s="41" t="s">
        <v>594</v>
      </c>
      <c r="E712" s="41" t="s">
        <v>29</v>
      </c>
      <c r="F712" s="41" t="s">
        <v>158</v>
      </c>
      <c r="G712" s="41" t="s">
        <v>26</v>
      </c>
      <c r="H712" s="42"/>
    </row>
    <row r="713" spans="2:8" ht="18" customHeight="1" x14ac:dyDescent="0.25">
      <c r="B713" s="40">
        <f>SUBTOTAL(3,C$4:C713)</f>
        <v>680</v>
      </c>
      <c r="C713" s="41">
        <v>24030963</v>
      </c>
      <c r="D713" s="41" t="s">
        <v>629</v>
      </c>
      <c r="E713" s="41" t="s">
        <v>29</v>
      </c>
      <c r="F713" s="41" t="s">
        <v>158</v>
      </c>
      <c r="G713" s="41" t="s">
        <v>26</v>
      </c>
      <c r="H713" s="42"/>
    </row>
    <row r="714" spans="2:8" ht="18" customHeight="1" x14ac:dyDescent="0.25">
      <c r="B714" s="40">
        <f>SUBTOTAL(3,C$4:C714)</f>
        <v>681</v>
      </c>
      <c r="C714" s="41">
        <v>24032897</v>
      </c>
      <c r="D714" s="41" t="s">
        <v>828</v>
      </c>
      <c r="E714" s="41" t="s">
        <v>29</v>
      </c>
      <c r="F714" s="41" t="s">
        <v>158</v>
      </c>
      <c r="G714" s="41" t="s">
        <v>26</v>
      </c>
      <c r="H714" s="42"/>
    </row>
    <row r="715" spans="2:8" ht="18" customHeight="1" x14ac:dyDescent="0.25">
      <c r="B715" s="40">
        <f>SUBTOTAL(3,C$4:C715)</f>
        <v>682</v>
      </c>
      <c r="C715" s="41">
        <v>24028694</v>
      </c>
      <c r="D715" s="41" t="s">
        <v>868</v>
      </c>
      <c r="E715" s="41" t="s">
        <v>29</v>
      </c>
      <c r="F715" s="41" t="s">
        <v>158</v>
      </c>
      <c r="G715" s="41" t="s">
        <v>26</v>
      </c>
      <c r="H715" s="42" t="s">
        <v>80</v>
      </c>
    </row>
    <row r="716" spans="2:8" ht="18" customHeight="1" x14ac:dyDescent="0.25">
      <c r="B716" s="40">
        <f>SUBTOTAL(3,C$4:C716)</f>
        <v>683</v>
      </c>
      <c r="C716" s="41">
        <v>24035021</v>
      </c>
      <c r="D716" s="41" t="s">
        <v>870</v>
      </c>
      <c r="E716" s="41" t="s">
        <v>29</v>
      </c>
      <c r="F716" s="41" t="s">
        <v>158</v>
      </c>
      <c r="G716" s="41" t="s">
        <v>26</v>
      </c>
      <c r="H716" s="42"/>
    </row>
    <row r="717" spans="2:8" ht="18" customHeight="1" x14ac:dyDescent="0.25">
      <c r="B717" s="40">
        <f>SUBTOTAL(3,C$4:C717)</f>
        <v>684</v>
      </c>
      <c r="C717" s="41">
        <v>24025892</v>
      </c>
      <c r="D717" s="41" t="s">
        <v>64</v>
      </c>
      <c r="E717" s="41" t="s">
        <v>29</v>
      </c>
      <c r="F717" s="41" t="s">
        <v>65</v>
      </c>
      <c r="G717" s="41" t="s">
        <v>26</v>
      </c>
      <c r="H717" s="42"/>
    </row>
    <row r="718" spans="2:8" ht="18" customHeight="1" x14ac:dyDescent="0.25">
      <c r="B718" s="40">
        <f>SUBTOTAL(3,C$4:C718)</f>
        <v>685</v>
      </c>
      <c r="C718" s="41">
        <v>24029203</v>
      </c>
      <c r="D718" s="41" t="s">
        <v>177</v>
      </c>
      <c r="E718" s="41" t="s">
        <v>29</v>
      </c>
      <c r="F718" s="41" t="s">
        <v>65</v>
      </c>
      <c r="G718" s="41" t="s">
        <v>26</v>
      </c>
      <c r="H718" s="42"/>
    </row>
    <row r="719" spans="2:8" ht="18" customHeight="1" x14ac:dyDescent="0.25">
      <c r="B719" s="40">
        <f>SUBTOTAL(3,C$4:C719)</f>
        <v>686</v>
      </c>
      <c r="C719" s="41">
        <v>24024281</v>
      </c>
      <c r="D719" s="41" t="s">
        <v>304</v>
      </c>
      <c r="E719" s="41" t="s">
        <v>29</v>
      </c>
      <c r="F719" s="41" t="s">
        <v>65</v>
      </c>
      <c r="G719" s="41" t="s">
        <v>26</v>
      </c>
      <c r="H719" s="42"/>
    </row>
    <row r="720" spans="2:8" ht="18" customHeight="1" x14ac:dyDescent="0.25">
      <c r="B720" s="40">
        <f>SUBTOTAL(3,C$4:C720)</f>
        <v>687</v>
      </c>
      <c r="C720" s="41">
        <v>24025636</v>
      </c>
      <c r="D720" s="41" t="s">
        <v>349</v>
      </c>
      <c r="E720" s="41" t="s">
        <v>29</v>
      </c>
      <c r="F720" s="41" t="s">
        <v>65</v>
      </c>
      <c r="G720" s="41" t="s">
        <v>24</v>
      </c>
      <c r="H720" s="42"/>
    </row>
    <row r="721" spans="2:8" ht="18" customHeight="1" x14ac:dyDescent="0.25">
      <c r="B721" s="40">
        <f>SUBTOTAL(3,C$4:C721)</f>
        <v>688</v>
      </c>
      <c r="C721" s="41">
        <v>24035673</v>
      </c>
      <c r="D721" s="41" t="s">
        <v>279</v>
      </c>
      <c r="E721" s="41" t="s">
        <v>29</v>
      </c>
      <c r="F721" s="41" t="s">
        <v>280</v>
      </c>
      <c r="G721" s="41" t="s">
        <v>26</v>
      </c>
      <c r="H721" s="42"/>
    </row>
    <row r="722" spans="2:8" ht="18" customHeight="1" x14ac:dyDescent="0.25">
      <c r="B722" s="40">
        <f>SUBTOTAL(3,C$4:C722)</f>
        <v>689</v>
      </c>
      <c r="C722" s="41">
        <v>24022535</v>
      </c>
      <c r="D722" s="41" t="s">
        <v>355</v>
      </c>
      <c r="E722" s="41" t="s">
        <v>29</v>
      </c>
      <c r="F722" s="41" t="s">
        <v>280</v>
      </c>
      <c r="G722" s="41" t="s">
        <v>26</v>
      </c>
      <c r="H722" s="42"/>
    </row>
    <row r="723" spans="2:8" ht="18" customHeight="1" x14ac:dyDescent="0.25">
      <c r="B723" s="40">
        <f>SUBTOTAL(3,C$4:C723)</f>
        <v>690</v>
      </c>
      <c r="C723" s="41">
        <v>24021247</v>
      </c>
      <c r="D723" s="41" t="s">
        <v>437</v>
      </c>
      <c r="E723" s="41" t="s">
        <v>29</v>
      </c>
      <c r="F723" s="41" t="s">
        <v>280</v>
      </c>
      <c r="G723" s="41" t="s">
        <v>26</v>
      </c>
      <c r="H723" s="42"/>
    </row>
    <row r="724" spans="2:8" ht="18" customHeight="1" x14ac:dyDescent="0.25">
      <c r="B724" s="40">
        <f>SUBTOTAL(3,C$4:C724)</f>
        <v>691</v>
      </c>
      <c r="C724" s="41">
        <v>24025920</v>
      </c>
      <c r="D724" s="41" t="s">
        <v>438</v>
      </c>
      <c r="E724" s="41" t="s">
        <v>29</v>
      </c>
      <c r="F724" s="41" t="s">
        <v>280</v>
      </c>
      <c r="G724" s="41" t="s">
        <v>26</v>
      </c>
      <c r="H724" s="42"/>
    </row>
    <row r="725" spans="2:8" ht="18" customHeight="1" x14ac:dyDescent="0.25">
      <c r="B725" s="40">
        <f>SUBTOTAL(3,C$4:C725)</f>
        <v>692</v>
      </c>
      <c r="C725" s="41">
        <v>24029999</v>
      </c>
      <c r="D725" s="41" t="s">
        <v>491</v>
      </c>
      <c r="E725" s="41" t="s">
        <v>29</v>
      </c>
      <c r="F725" s="41" t="s">
        <v>280</v>
      </c>
      <c r="G725" s="41" t="s">
        <v>26</v>
      </c>
      <c r="H725" s="42"/>
    </row>
    <row r="726" spans="2:8" ht="18" customHeight="1" x14ac:dyDescent="0.25">
      <c r="B726" s="40">
        <f>SUBTOTAL(3,C$4:C726)</f>
        <v>693</v>
      </c>
      <c r="C726" s="41">
        <v>24029825</v>
      </c>
      <c r="D726" s="41" t="s">
        <v>501</v>
      </c>
      <c r="E726" s="41" t="s">
        <v>29</v>
      </c>
      <c r="F726" s="41" t="s">
        <v>280</v>
      </c>
      <c r="G726" s="41" t="s">
        <v>26</v>
      </c>
      <c r="H726" s="42"/>
    </row>
    <row r="727" spans="2:8" ht="18" customHeight="1" x14ac:dyDescent="0.25">
      <c r="B727" s="40">
        <f>SUBTOTAL(3,C$4:C727)</f>
        <v>694</v>
      </c>
      <c r="C727" s="41">
        <v>24035365</v>
      </c>
      <c r="D727" s="41" t="s">
        <v>645</v>
      </c>
      <c r="E727" s="41" t="s">
        <v>29</v>
      </c>
      <c r="F727" s="41" t="s">
        <v>280</v>
      </c>
      <c r="G727" s="41" t="s">
        <v>26</v>
      </c>
      <c r="H727" s="42"/>
    </row>
    <row r="728" spans="2:8" ht="18" customHeight="1" x14ac:dyDescent="0.25">
      <c r="B728" s="40">
        <f>SUBTOTAL(3,C$4:C728)</f>
        <v>695</v>
      </c>
      <c r="C728" s="41">
        <v>24021646</v>
      </c>
      <c r="D728" s="41" t="s">
        <v>663</v>
      </c>
      <c r="E728" s="41" t="s">
        <v>29</v>
      </c>
      <c r="F728" s="41" t="s">
        <v>280</v>
      </c>
      <c r="G728" s="41" t="s">
        <v>26</v>
      </c>
      <c r="H728" s="42" t="s">
        <v>80</v>
      </c>
    </row>
    <row r="729" spans="2:8" ht="18" customHeight="1" x14ac:dyDescent="0.25">
      <c r="B729" s="40">
        <f>SUBTOTAL(3,C$4:C729)</f>
        <v>696</v>
      </c>
      <c r="C729" s="41">
        <v>24037327</v>
      </c>
      <c r="D729" s="41" t="s">
        <v>674</v>
      </c>
      <c r="E729" s="41" t="s">
        <v>29</v>
      </c>
      <c r="F729" s="41" t="s">
        <v>280</v>
      </c>
      <c r="G729" s="41" t="s">
        <v>26</v>
      </c>
      <c r="H729" s="42"/>
    </row>
    <row r="730" spans="2:8" ht="18" customHeight="1" x14ac:dyDescent="0.25">
      <c r="B730" s="40">
        <f>SUBTOTAL(3,C$4:C730)</f>
        <v>697</v>
      </c>
      <c r="C730" s="41">
        <v>24021224</v>
      </c>
      <c r="D730" s="41" t="s">
        <v>693</v>
      </c>
      <c r="E730" s="41" t="s">
        <v>29</v>
      </c>
      <c r="F730" s="41" t="s">
        <v>280</v>
      </c>
      <c r="G730" s="41" t="s">
        <v>26</v>
      </c>
      <c r="H730" s="42"/>
    </row>
    <row r="731" spans="2:8" ht="18" customHeight="1" x14ac:dyDescent="0.25">
      <c r="B731" s="40">
        <f>SUBTOTAL(3,C$4:C731)</f>
        <v>698</v>
      </c>
      <c r="C731" s="41">
        <v>24036216</v>
      </c>
      <c r="D731" s="41" t="s">
        <v>696</v>
      </c>
      <c r="E731" s="41" t="s">
        <v>29</v>
      </c>
      <c r="F731" s="41" t="s">
        <v>280</v>
      </c>
      <c r="G731" s="41" t="s">
        <v>26</v>
      </c>
      <c r="H731" s="42"/>
    </row>
    <row r="732" spans="2:8" ht="18" customHeight="1" x14ac:dyDescent="0.25">
      <c r="B732" s="40">
        <f>SUBTOTAL(3,C$4:C732)</f>
        <v>699</v>
      </c>
      <c r="C732" s="41">
        <v>24029936</v>
      </c>
      <c r="D732" s="41" t="s">
        <v>705</v>
      </c>
      <c r="E732" s="41" t="s">
        <v>29</v>
      </c>
      <c r="F732" s="41" t="s">
        <v>280</v>
      </c>
      <c r="G732" s="41" t="s">
        <v>26</v>
      </c>
      <c r="H732" s="42"/>
    </row>
    <row r="733" spans="2:8" ht="18" customHeight="1" x14ac:dyDescent="0.25">
      <c r="B733" s="40">
        <f>SUBTOTAL(3,C$4:C733)</f>
        <v>700</v>
      </c>
      <c r="C733" s="41">
        <v>24033861</v>
      </c>
      <c r="D733" s="41" t="s">
        <v>802</v>
      </c>
      <c r="E733" s="41" t="s">
        <v>29</v>
      </c>
      <c r="F733" s="41" t="s">
        <v>280</v>
      </c>
      <c r="G733" s="41" t="s">
        <v>26</v>
      </c>
      <c r="H733" s="42"/>
    </row>
    <row r="734" spans="2:8" ht="18" customHeight="1" x14ac:dyDescent="0.25">
      <c r="B734" s="40">
        <f>SUBTOTAL(3,C$4:C734)</f>
        <v>701</v>
      </c>
      <c r="C734" s="41">
        <v>24026911</v>
      </c>
      <c r="D734" s="41" t="s">
        <v>809</v>
      </c>
      <c r="E734" s="41" t="s">
        <v>29</v>
      </c>
      <c r="F734" s="41" t="s">
        <v>280</v>
      </c>
      <c r="G734" s="41" t="s">
        <v>26</v>
      </c>
      <c r="H734" s="42"/>
    </row>
    <row r="735" spans="2:8" ht="18" customHeight="1" x14ac:dyDescent="0.25">
      <c r="B735" s="40">
        <f>SUBTOTAL(3,C$4:C735)</f>
        <v>702</v>
      </c>
      <c r="C735" s="41">
        <v>24022322</v>
      </c>
      <c r="D735" s="41" t="s">
        <v>108</v>
      </c>
      <c r="E735" s="41" t="s">
        <v>29</v>
      </c>
      <c r="F735" s="41" t="s">
        <v>109</v>
      </c>
      <c r="G735" s="41" t="s">
        <v>26</v>
      </c>
      <c r="H735" s="42"/>
    </row>
    <row r="736" spans="2:8" ht="18" customHeight="1" x14ac:dyDescent="0.25">
      <c r="B736" s="40">
        <f>SUBTOTAL(3,C$4:C736)</f>
        <v>703</v>
      </c>
      <c r="C736" s="41">
        <v>24023123</v>
      </c>
      <c r="D736" s="41" t="s">
        <v>110</v>
      </c>
      <c r="E736" s="41" t="s">
        <v>29</v>
      </c>
      <c r="F736" s="41" t="s">
        <v>109</v>
      </c>
      <c r="G736" s="41" t="s">
        <v>26</v>
      </c>
      <c r="H736" s="42"/>
    </row>
    <row r="737" spans="2:8" ht="18" customHeight="1" x14ac:dyDescent="0.25">
      <c r="B737" s="40">
        <f>SUBTOTAL(3,C$4:C737)</f>
        <v>704</v>
      </c>
      <c r="C737" s="41">
        <v>24029916</v>
      </c>
      <c r="D737" s="41" t="s">
        <v>124</v>
      </c>
      <c r="E737" s="41" t="s">
        <v>29</v>
      </c>
      <c r="F737" s="41" t="s">
        <v>109</v>
      </c>
      <c r="G737" s="41" t="s">
        <v>26</v>
      </c>
      <c r="H737" s="42"/>
    </row>
    <row r="738" spans="2:8" ht="18" customHeight="1" x14ac:dyDescent="0.25">
      <c r="B738" s="40">
        <f>SUBTOTAL(3,C$4:C738)</f>
        <v>705</v>
      </c>
      <c r="C738" s="41">
        <v>24022403</v>
      </c>
      <c r="D738" s="41" t="s">
        <v>170</v>
      </c>
      <c r="E738" s="41" t="s">
        <v>29</v>
      </c>
      <c r="F738" s="41" t="s">
        <v>109</v>
      </c>
      <c r="G738" s="41" t="s">
        <v>26</v>
      </c>
      <c r="H738" s="42"/>
    </row>
    <row r="739" spans="2:8" ht="18" customHeight="1" x14ac:dyDescent="0.25">
      <c r="B739" s="40">
        <f>SUBTOTAL(3,C$4:C739)</f>
        <v>706</v>
      </c>
      <c r="C739" s="41">
        <v>24033958</v>
      </c>
      <c r="D739" s="41" t="s">
        <v>209</v>
      </c>
      <c r="E739" s="41" t="s">
        <v>29</v>
      </c>
      <c r="F739" s="41" t="s">
        <v>109</v>
      </c>
      <c r="G739" s="41" t="s">
        <v>26</v>
      </c>
      <c r="H739" s="42"/>
    </row>
    <row r="740" spans="2:8" ht="18" customHeight="1" x14ac:dyDescent="0.25">
      <c r="B740" s="40">
        <f>SUBTOTAL(3,C$4:C740)</f>
        <v>707</v>
      </c>
      <c r="C740" s="41">
        <v>24038707</v>
      </c>
      <c r="D740" s="41" t="s">
        <v>243</v>
      </c>
      <c r="E740" s="41" t="s">
        <v>29</v>
      </c>
      <c r="F740" s="41" t="s">
        <v>109</v>
      </c>
      <c r="G740" s="41" t="s">
        <v>26</v>
      </c>
      <c r="H740" s="42"/>
    </row>
    <row r="741" spans="2:8" ht="18" customHeight="1" x14ac:dyDescent="0.25">
      <c r="B741" s="40">
        <f>SUBTOTAL(3,C$4:C741)</f>
        <v>708</v>
      </c>
      <c r="C741" s="41">
        <v>24019266</v>
      </c>
      <c r="D741" s="41" t="s">
        <v>260</v>
      </c>
      <c r="E741" s="41" t="s">
        <v>29</v>
      </c>
      <c r="F741" s="41" t="s">
        <v>109</v>
      </c>
      <c r="G741" s="41" t="s">
        <v>26</v>
      </c>
      <c r="H741" s="42"/>
    </row>
    <row r="742" spans="2:8" ht="18" customHeight="1" x14ac:dyDescent="0.25">
      <c r="B742" s="40">
        <f>SUBTOTAL(3,C$4:C742)</f>
        <v>709</v>
      </c>
      <c r="C742" s="41">
        <v>24038108</v>
      </c>
      <c r="D742" s="41" t="s">
        <v>380</v>
      </c>
      <c r="E742" s="41" t="s">
        <v>29</v>
      </c>
      <c r="F742" s="41" t="s">
        <v>109</v>
      </c>
      <c r="G742" s="41" t="s">
        <v>24</v>
      </c>
      <c r="H742" s="42"/>
    </row>
    <row r="743" spans="2:8" ht="18" customHeight="1" x14ac:dyDescent="0.25">
      <c r="B743" s="40">
        <f>SUBTOTAL(3,C$4:C743)</f>
        <v>710</v>
      </c>
      <c r="C743" s="41">
        <v>24028579</v>
      </c>
      <c r="D743" s="41" t="s">
        <v>394</v>
      </c>
      <c r="E743" s="41" t="s">
        <v>29</v>
      </c>
      <c r="F743" s="41" t="s">
        <v>109</v>
      </c>
      <c r="G743" s="41" t="s">
        <v>26</v>
      </c>
      <c r="H743" s="42" t="s">
        <v>386</v>
      </c>
    </row>
    <row r="744" spans="2:8" ht="18" customHeight="1" x14ac:dyDescent="0.25">
      <c r="B744" s="40">
        <f>SUBTOTAL(3,C$4:C744)</f>
        <v>711</v>
      </c>
      <c r="C744" s="41">
        <v>24025740</v>
      </c>
      <c r="D744" s="41" t="s">
        <v>453</v>
      </c>
      <c r="E744" s="41" t="s">
        <v>29</v>
      </c>
      <c r="F744" s="41" t="s">
        <v>109</v>
      </c>
      <c r="G744" s="41" t="s">
        <v>26</v>
      </c>
      <c r="H744" s="42"/>
    </row>
    <row r="745" spans="2:8" ht="18" customHeight="1" x14ac:dyDescent="0.25">
      <c r="B745" s="40">
        <f>SUBTOTAL(3,C$4:C745)</f>
        <v>712</v>
      </c>
      <c r="C745" s="41">
        <v>24022615</v>
      </c>
      <c r="D745" s="41" t="s">
        <v>573</v>
      </c>
      <c r="E745" s="41" t="s">
        <v>29</v>
      </c>
      <c r="F745" s="41" t="s">
        <v>109</v>
      </c>
      <c r="G745" s="41" t="s">
        <v>26</v>
      </c>
      <c r="H745" s="42"/>
    </row>
    <row r="746" spans="2:8" ht="18" customHeight="1" x14ac:dyDescent="0.25">
      <c r="B746" s="40">
        <f>SUBTOTAL(3,C$4:C746)</f>
        <v>713</v>
      </c>
      <c r="C746" s="41">
        <v>24023921</v>
      </c>
      <c r="D746" s="41" t="s">
        <v>603</v>
      </c>
      <c r="E746" s="41" t="s">
        <v>29</v>
      </c>
      <c r="F746" s="41" t="s">
        <v>109</v>
      </c>
      <c r="G746" s="41" t="s">
        <v>26</v>
      </c>
      <c r="H746" s="42"/>
    </row>
    <row r="747" spans="2:8" ht="18" customHeight="1" x14ac:dyDescent="0.25">
      <c r="B747" s="40">
        <f>SUBTOTAL(3,C$4:C747)</f>
        <v>714</v>
      </c>
      <c r="C747" s="41">
        <v>24020575</v>
      </c>
      <c r="D747" s="41" t="s">
        <v>671</v>
      </c>
      <c r="E747" s="41" t="s">
        <v>29</v>
      </c>
      <c r="F747" s="41" t="s">
        <v>109</v>
      </c>
      <c r="G747" s="41" t="s">
        <v>26</v>
      </c>
      <c r="H747" s="42"/>
    </row>
    <row r="748" spans="2:8" ht="18" customHeight="1" x14ac:dyDescent="0.25">
      <c r="B748" s="40">
        <f>SUBTOTAL(3,C$4:C748)</f>
        <v>715</v>
      </c>
      <c r="C748" s="41">
        <v>24021481</v>
      </c>
      <c r="D748" s="41" t="s">
        <v>737</v>
      </c>
      <c r="E748" s="41" t="s">
        <v>29</v>
      </c>
      <c r="F748" s="41" t="s">
        <v>109</v>
      </c>
      <c r="G748" s="41" t="s">
        <v>26</v>
      </c>
      <c r="H748" s="42"/>
    </row>
    <row r="749" spans="2:8" ht="18" customHeight="1" x14ac:dyDescent="0.25">
      <c r="B749" s="40">
        <f>SUBTOTAL(3,C$4:C749)</f>
        <v>716</v>
      </c>
      <c r="C749" s="41">
        <v>24022205</v>
      </c>
      <c r="D749" s="41" t="s">
        <v>810</v>
      </c>
      <c r="E749" s="41" t="s">
        <v>29</v>
      </c>
      <c r="F749" s="41" t="s">
        <v>109</v>
      </c>
      <c r="G749" s="41" t="s">
        <v>26</v>
      </c>
      <c r="H749" s="42" t="s">
        <v>38</v>
      </c>
    </row>
    <row r="750" spans="2:8" ht="18" customHeight="1" x14ac:dyDescent="0.25">
      <c r="B750" s="40">
        <f>SUBTOTAL(3,C$4:C750)</f>
        <v>717</v>
      </c>
      <c r="C750" s="41">
        <v>24022933</v>
      </c>
      <c r="D750" s="41" t="s">
        <v>883</v>
      </c>
      <c r="E750" s="41" t="s">
        <v>29</v>
      </c>
      <c r="F750" s="41" t="s">
        <v>109</v>
      </c>
      <c r="G750" s="41" t="s">
        <v>26</v>
      </c>
      <c r="H750" s="42"/>
    </row>
    <row r="751" spans="2:8" ht="18" customHeight="1" x14ac:dyDescent="0.25">
      <c r="B751" s="40">
        <f>SUBTOTAL(3,C$4:C751)</f>
        <v>718</v>
      </c>
      <c r="C751" s="41">
        <v>24019326</v>
      </c>
      <c r="D751" s="41" t="s">
        <v>166</v>
      </c>
      <c r="E751" s="41" t="s">
        <v>29</v>
      </c>
      <c r="F751" s="41" t="s">
        <v>167</v>
      </c>
      <c r="G751" s="41" t="s">
        <v>26</v>
      </c>
      <c r="H751" s="42"/>
    </row>
    <row r="752" spans="2:8" ht="18" customHeight="1" x14ac:dyDescent="0.25">
      <c r="B752" s="40">
        <f>SUBTOTAL(3,C$4:C752)</f>
        <v>719</v>
      </c>
      <c r="C752" s="41">
        <v>24033509</v>
      </c>
      <c r="D752" s="41" t="s">
        <v>212</v>
      </c>
      <c r="E752" s="41" t="s">
        <v>29</v>
      </c>
      <c r="F752" s="41" t="s">
        <v>167</v>
      </c>
      <c r="G752" s="41" t="s">
        <v>26</v>
      </c>
      <c r="H752" s="42"/>
    </row>
    <row r="753" spans="2:8" ht="18" customHeight="1" x14ac:dyDescent="0.25">
      <c r="B753" s="40">
        <f>SUBTOTAL(3,C$4:C753)</f>
        <v>720</v>
      </c>
      <c r="C753" s="41">
        <v>24036078</v>
      </c>
      <c r="D753" s="41" t="s">
        <v>276</v>
      </c>
      <c r="E753" s="41" t="s">
        <v>29</v>
      </c>
      <c r="F753" s="41" t="s">
        <v>167</v>
      </c>
      <c r="G753" s="41" t="s">
        <v>26</v>
      </c>
      <c r="H753" s="42"/>
    </row>
    <row r="754" spans="2:8" ht="18" customHeight="1" x14ac:dyDescent="0.25">
      <c r="B754" s="40">
        <f>SUBTOTAL(3,C$4:C754)</f>
        <v>721</v>
      </c>
      <c r="C754" s="41">
        <v>24019147</v>
      </c>
      <c r="D754" s="41" t="s">
        <v>308</v>
      </c>
      <c r="E754" s="41" t="s">
        <v>29</v>
      </c>
      <c r="F754" s="41" t="s">
        <v>167</v>
      </c>
      <c r="G754" s="41" t="s">
        <v>26</v>
      </c>
      <c r="H754" s="42"/>
    </row>
    <row r="755" spans="2:8" ht="18" customHeight="1" x14ac:dyDescent="0.25">
      <c r="B755" s="40">
        <f>SUBTOTAL(3,C$4:C755)</f>
        <v>722</v>
      </c>
      <c r="C755" s="41">
        <v>24032614</v>
      </c>
      <c r="D755" s="41" t="s">
        <v>362</v>
      </c>
      <c r="E755" s="41" t="s">
        <v>29</v>
      </c>
      <c r="F755" s="41" t="s">
        <v>167</v>
      </c>
      <c r="G755" s="41" t="s">
        <v>26</v>
      </c>
      <c r="H755" s="42"/>
    </row>
    <row r="756" spans="2:8" ht="18" customHeight="1" x14ac:dyDescent="0.25">
      <c r="B756" s="40">
        <f>SUBTOTAL(3,C$4:C756)</f>
        <v>723</v>
      </c>
      <c r="C756" s="41">
        <v>24020906</v>
      </c>
      <c r="D756" s="41" t="s">
        <v>368</v>
      </c>
      <c r="E756" s="41" t="s">
        <v>29</v>
      </c>
      <c r="F756" s="41" t="s">
        <v>167</v>
      </c>
      <c r="G756" s="41" t="s">
        <v>26</v>
      </c>
      <c r="H756" s="42" t="s">
        <v>38</v>
      </c>
    </row>
    <row r="757" spans="2:8" ht="18" customHeight="1" x14ac:dyDescent="0.25">
      <c r="B757" s="40">
        <f>SUBTOTAL(3,C$4:C757)</f>
        <v>724</v>
      </c>
      <c r="C757" s="41">
        <v>24033439</v>
      </c>
      <c r="D757" s="41" t="s">
        <v>452</v>
      </c>
      <c r="E757" s="41" t="s">
        <v>29</v>
      </c>
      <c r="F757" s="41" t="s">
        <v>167</v>
      </c>
      <c r="G757" s="41" t="s">
        <v>26</v>
      </c>
      <c r="H757" s="42"/>
    </row>
    <row r="758" spans="2:8" ht="18" customHeight="1" x14ac:dyDescent="0.25">
      <c r="B758" s="40">
        <f>SUBTOTAL(3,C$4:C758)</f>
        <v>725</v>
      </c>
      <c r="C758" s="41">
        <v>24033064</v>
      </c>
      <c r="D758" s="41" t="s">
        <v>468</v>
      </c>
      <c r="E758" s="41" t="s">
        <v>29</v>
      </c>
      <c r="F758" s="41" t="s">
        <v>167</v>
      </c>
      <c r="G758" s="41" t="s">
        <v>26</v>
      </c>
      <c r="H758" s="42"/>
    </row>
    <row r="759" spans="2:8" ht="18" customHeight="1" x14ac:dyDescent="0.25">
      <c r="B759" s="40">
        <f>SUBTOTAL(3,C$4:C759)</f>
        <v>726</v>
      </c>
      <c r="C759" s="41">
        <v>24025060</v>
      </c>
      <c r="D759" s="41" t="s">
        <v>525</v>
      </c>
      <c r="E759" s="41" t="s">
        <v>29</v>
      </c>
      <c r="F759" s="41" t="s">
        <v>167</v>
      </c>
      <c r="G759" s="41" t="s">
        <v>26</v>
      </c>
      <c r="H759" s="42"/>
    </row>
    <row r="760" spans="2:8" ht="18" customHeight="1" x14ac:dyDescent="0.25">
      <c r="B760" s="40">
        <f>SUBTOTAL(3,C$4:C760)</f>
        <v>727</v>
      </c>
      <c r="C760" s="41">
        <v>24033231</v>
      </c>
      <c r="D760" s="41" t="s">
        <v>552</v>
      </c>
      <c r="E760" s="41" t="s">
        <v>29</v>
      </c>
      <c r="F760" s="41" t="s">
        <v>167</v>
      </c>
      <c r="G760" s="41" t="s">
        <v>26</v>
      </c>
      <c r="H760" s="42"/>
    </row>
    <row r="761" spans="2:8" ht="18" customHeight="1" x14ac:dyDescent="0.25">
      <c r="B761" s="40">
        <f>SUBTOTAL(3,C$4:C761)</f>
        <v>728</v>
      </c>
      <c r="C761" s="41">
        <v>24021626</v>
      </c>
      <c r="D761" s="41" t="s">
        <v>655</v>
      </c>
      <c r="E761" s="41" t="s">
        <v>29</v>
      </c>
      <c r="F761" s="41" t="s">
        <v>167</v>
      </c>
      <c r="G761" s="41" t="s">
        <v>26</v>
      </c>
      <c r="H761" s="42"/>
    </row>
    <row r="762" spans="2:8" ht="18" customHeight="1" x14ac:dyDescent="0.25">
      <c r="B762" s="40">
        <f>SUBTOTAL(3,C$4:C762)</f>
        <v>729</v>
      </c>
      <c r="C762" s="41">
        <v>24029561</v>
      </c>
      <c r="D762" s="41" t="s">
        <v>677</v>
      </c>
      <c r="E762" s="41" t="s">
        <v>29</v>
      </c>
      <c r="F762" s="41" t="s">
        <v>167</v>
      </c>
      <c r="G762" s="41" t="s">
        <v>26</v>
      </c>
      <c r="H762" s="42"/>
    </row>
    <row r="763" spans="2:8" ht="18" customHeight="1" x14ac:dyDescent="0.25">
      <c r="B763" s="40">
        <f>SUBTOTAL(3,C$4:C763)</f>
        <v>730</v>
      </c>
      <c r="C763" s="41">
        <v>24022714</v>
      </c>
      <c r="D763" s="41" t="s">
        <v>760</v>
      </c>
      <c r="E763" s="41" t="s">
        <v>29</v>
      </c>
      <c r="F763" s="41" t="s">
        <v>167</v>
      </c>
      <c r="G763" s="41" t="s">
        <v>26</v>
      </c>
      <c r="H763" s="42" t="s">
        <v>201</v>
      </c>
    </row>
    <row r="764" spans="2:8" ht="18" customHeight="1" x14ac:dyDescent="0.25">
      <c r="B764" s="40">
        <f>SUBTOTAL(3,C$4:C764)</f>
        <v>731</v>
      </c>
      <c r="C764" s="41">
        <v>24029967</v>
      </c>
      <c r="D764" s="41" t="s">
        <v>799</v>
      </c>
      <c r="E764" s="41" t="s">
        <v>29</v>
      </c>
      <c r="F764" s="41" t="s">
        <v>167</v>
      </c>
      <c r="G764" s="41" t="s">
        <v>26</v>
      </c>
      <c r="H764" s="42"/>
    </row>
    <row r="765" spans="2:8" ht="18" customHeight="1" x14ac:dyDescent="0.25">
      <c r="B765" s="40">
        <f>SUBTOTAL(3,C$4:C765)</f>
        <v>732</v>
      </c>
      <c r="C765" s="41">
        <v>24022216</v>
      </c>
      <c r="D765" s="41" t="s">
        <v>845</v>
      </c>
      <c r="E765" s="41" t="s">
        <v>29</v>
      </c>
      <c r="F765" s="41" t="s">
        <v>167</v>
      </c>
      <c r="G765" s="41" t="s">
        <v>26</v>
      </c>
      <c r="H765" s="42"/>
    </row>
    <row r="766" spans="2:8" ht="18" customHeight="1" x14ac:dyDescent="0.25">
      <c r="B766" s="40">
        <f>SUBTOTAL(3,C$4:C766)</f>
        <v>733</v>
      </c>
      <c r="C766" s="41">
        <v>24021171</v>
      </c>
      <c r="D766" s="41" t="s">
        <v>866</v>
      </c>
      <c r="E766" s="41" t="s">
        <v>29</v>
      </c>
      <c r="F766" s="41" t="s">
        <v>167</v>
      </c>
      <c r="G766" s="41" t="s">
        <v>26</v>
      </c>
      <c r="H766" s="42"/>
    </row>
    <row r="767" spans="2:8" ht="18" customHeight="1" x14ac:dyDescent="0.25">
      <c r="B767" s="40">
        <f>SUBTOTAL(3,C$4:C767)</f>
        <v>734</v>
      </c>
      <c r="C767" s="41">
        <v>24035593</v>
      </c>
      <c r="D767" s="41" t="s">
        <v>70</v>
      </c>
      <c r="E767" s="41" t="s">
        <v>29</v>
      </c>
      <c r="F767" s="41" t="s">
        <v>71</v>
      </c>
      <c r="G767" s="41" t="s">
        <v>24</v>
      </c>
      <c r="H767" s="42"/>
    </row>
    <row r="768" spans="2:8" ht="18" customHeight="1" x14ac:dyDescent="0.25">
      <c r="B768" s="40">
        <f>SUBTOTAL(3,C$4:C768)</f>
        <v>735</v>
      </c>
      <c r="C768" s="41">
        <v>24109761</v>
      </c>
      <c r="D768" s="41" t="s">
        <v>115</v>
      </c>
      <c r="E768" s="41" t="s">
        <v>29</v>
      </c>
      <c r="F768" s="41" t="s">
        <v>71</v>
      </c>
      <c r="G768" s="41" t="s">
        <v>28</v>
      </c>
      <c r="H768" s="42"/>
    </row>
    <row r="769" spans="2:8" ht="18" customHeight="1" x14ac:dyDescent="0.25">
      <c r="B769" s="40">
        <f>SUBTOTAL(3,C$4:C769)</f>
        <v>736</v>
      </c>
      <c r="C769" s="41">
        <v>24030392</v>
      </c>
      <c r="D769" s="41" t="s">
        <v>130</v>
      </c>
      <c r="E769" s="41" t="s">
        <v>29</v>
      </c>
      <c r="F769" s="41" t="s">
        <v>71</v>
      </c>
      <c r="G769" s="41" t="s">
        <v>24</v>
      </c>
      <c r="H769" s="42" t="s">
        <v>80</v>
      </c>
    </row>
    <row r="770" spans="2:8" ht="18" customHeight="1" x14ac:dyDescent="0.25">
      <c r="B770" s="40">
        <f>SUBTOTAL(3,C$4:C770)</f>
        <v>737</v>
      </c>
      <c r="C770" s="41">
        <v>24038669</v>
      </c>
      <c r="D770" s="41" t="s">
        <v>156</v>
      </c>
      <c r="E770" s="41" t="s">
        <v>29</v>
      </c>
      <c r="F770" s="41" t="s">
        <v>71</v>
      </c>
      <c r="G770" s="41" t="s">
        <v>24</v>
      </c>
      <c r="H770" s="42"/>
    </row>
    <row r="771" spans="2:8" ht="18" customHeight="1" x14ac:dyDescent="0.25">
      <c r="B771" s="40">
        <f>SUBTOTAL(3,C$4:C771)</f>
        <v>738</v>
      </c>
      <c r="C771" s="41">
        <v>24033856</v>
      </c>
      <c r="D771" s="41" t="s">
        <v>171</v>
      </c>
      <c r="E771" s="41" t="s">
        <v>29</v>
      </c>
      <c r="F771" s="41" t="s">
        <v>71</v>
      </c>
      <c r="G771" s="41" t="s">
        <v>26</v>
      </c>
      <c r="H771" s="42"/>
    </row>
    <row r="772" spans="2:8" ht="18" customHeight="1" x14ac:dyDescent="0.25">
      <c r="B772" s="40">
        <f>SUBTOTAL(3,C$4:C772)</f>
        <v>739</v>
      </c>
      <c r="C772" s="41">
        <v>24121005</v>
      </c>
      <c r="D772" s="41" t="s">
        <v>182</v>
      </c>
      <c r="E772" s="41" t="s">
        <v>29</v>
      </c>
      <c r="F772" s="41" t="s">
        <v>71</v>
      </c>
      <c r="G772" s="41" t="s">
        <v>28</v>
      </c>
      <c r="H772" s="42"/>
    </row>
    <row r="773" spans="2:8" ht="18" customHeight="1" x14ac:dyDescent="0.25">
      <c r="B773" s="40">
        <f>SUBTOTAL(3,C$4:C773)</f>
        <v>740</v>
      </c>
      <c r="C773" s="41">
        <v>24023247</v>
      </c>
      <c r="D773" s="41" t="s">
        <v>202</v>
      </c>
      <c r="E773" s="41" t="s">
        <v>29</v>
      </c>
      <c r="F773" s="41" t="s">
        <v>71</v>
      </c>
      <c r="G773" s="41" t="s">
        <v>24</v>
      </c>
      <c r="H773" s="42" t="s">
        <v>203</v>
      </c>
    </row>
    <row r="774" spans="2:8" ht="18" customHeight="1" x14ac:dyDescent="0.25">
      <c r="B774" s="40">
        <f>SUBTOTAL(3,C$4:C774)</f>
        <v>741</v>
      </c>
      <c r="C774" s="41">
        <v>24038795</v>
      </c>
      <c r="D774" s="41" t="s">
        <v>232</v>
      </c>
      <c r="E774" s="41" t="s">
        <v>29</v>
      </c>
      <c r="F774" s="41" t="s">
        <v>71</v>
      </c>
      <c r="G774" s="41" t="s">
        <v>24</v>
      </c>
      <c r="H774" s="42" t="s">
        <v>80</v>
      </c>
    </row>
    <row r="775" spans="2:8" ht="18" customHeight="1" x14ac:dyDescent="0.25">
      <c r="B775" s="40">
        <f>SUBTOTAL(3,C$4:C775)</f>
        <v>742</v>
      </c>
      <c r="C775" s="41">
        <v>24022006</v>
      </c>
      <c r="D775" s="41" t="s">
        <v>238</v>
      </c>
      <c r="E775" s="41" t="s">
        <v>29</v>
      </c>
      <c r="F775" s="41" t="s">
        <v>71</v>
      </c>
      <c r="G775" s="41" t="s">
        <v>24</v>
      </c>
      <c r="H775" s="42" t="s">
        <v>80</v>
      </c>
    </row>
    <row r="776" spans="2:8" ht="18" customHeight="1" x14ac:dyDescent="0.25">
      <c r="B776" s="40">
        <f>SUBTOTAL(3,C$4:C776)</f>
        <v>743</v>
      </c>
      <c r="C776" s="41">
        <v>24170934</v>
      </c>
      <c r="D776" s="41" t="s">
        <v>250</v>
      </c>
      <c r="E776" s="41" t="s">
        <v>29</v>
      </c>
      <c r="F776" s="41" t="s">
        <v>71</v>
      </c>
      <c r="G776" s="41" t="s">
        <v>26</v>
      </c>
      <c r="H776" s="42" t="s">
        <v>80</v>
      </c>
    </row>
    <row r="777" spans="2:8" ht="18" customHeight="1" x14ac:dyDescent="0.25">
      <c r="B777" s="40">
        <f>SUBTOTAL(3,C$4:C777)</f>
        <v>744</v>
      </c>
      <c r="C777" s="41">
        <v>24114275</v>
      </c>
      <c r="D777" s="41" t="s">
        <v>255</v>
      </c>
      <c r="E777" s="41" t="s">
        <v>29</v>
      </c>
      <c r="F777" s="41" t="s">
        <v>71</v>
      </c>
      <c r="G777" s="41" t="s">
        <v>28</v>
      </c>
      <c r="H777" s="42"/>
    </row>
    <row r="778" spans="2:8" ht="18" customHeight="1" x14ac:dyDescent="0.25">
      <c r="B778" s="40">
        <f>SUBTOTAL(3,C$4:C778)</f>
        <v>745</v>
      </c>
      <c r="C778" s="41">
        <v>24027648</v>
      </c>
      <c r="D778" s="41" t="s">
        <v>332</v>
      </c>
      <c r="E778" s="41" t="s">
        <v>29</v>
      </c>
      <c r="F778" s="41" t="s">
        <v>71</v>
      </c>
      <c r="G778" s="41" t="s">
        <v>26</v>
      </c>
      <c r="H778" s="42" t="s">
        <v>201</v>
      </c>
    </row>
    <row r="779" spans="2:8" ht="18" customHeight="1" x14ac:dyDescent="0.25">
      <c r="B779" s="40">
        <f>SUBTOTAL(3,C$4:C779)</f>
        <v>746</v>
      </c>
      <c r="C779" s="41">
        <v>24038708</v>
      </c>
      <c r="D779" s="41" t="s">
        <v>391</v>
      </c>
      <c r="E779" s="41" t="s">
        <v>29</v>
      </c>
      <c r="F779" s="41" t="s">
        <v>71</v>
      </c>
      <c r="G779" s="41" t="s">
        <v>26</v>
      </c>
      <c r="H779" s="42" t="s">
        <v>80</v>
      </c>
    </row>
    <row r="780" spans="2:8" ht="18" customHeight="1" x14ac:dyDescent="0.25">
      <c r="B780" s="40">
        <f>SUBTOTAL(3,C$4:C780)</f>
        <v>747</v>
      </c>
      <c r="C780" s="41">
        <v>24036991</v>
      </c>
      <c r="D780" s="41" t="s">
        <v>400</v>
      </c>
      <c r="E780" s="41" t="s">
        <v>29</v>
      </c>
      <c r="F780" s="41" t="s">
        <v>71</v>
      </c>
      <c r="G780" s="41" t="s">
        <v>24</v>
      </c>
      <c r="H780" s="42"/>
    </row>
    <row r="781" spans="2:8" ht="18" customHeight="1" x14ac:dyDescent="0.25">
      <c r="B781" s="40">
        <f>SUBTOTAL(3,C$4:C781)</f>
        <v>748</v>
      </c>
      <c r="C781" s="41">
        <v>24113061</v>
      </c>
      <c r="D781" s="41" t="s">
        <v>401</v>
      </c>
      <c r="E781" s="41" t="s">
        <v>29</v>
      </c>
      <c r="F781" s="41" t="s">
        <v>71</v>
      </c>
      <c r="G781" s="41" t="s">
        <v>28</v>
      </c>
      <c r="H781" s="42"/>
    </row>
    <row r="782" spans="2:8" ht="18" customHeight="1" x14ac:dyDescent="0.25">
      <c r="B782" s="40">
        <f>SUBTOTAL(3,C$4:C782)</f>
        <v>749</v>
      </c>
      <c r="C782" s="41">
        <v>24021961</v>
      </c>
      <c r="D782" s="41" t="s">
        <v>523</v>
      </c>
      <c r="E782" s="41" t="s">
        <v>29</v>
      </c>
      <c r="F782" s="41" t="s">
        <v>71</v>
      </c>
      <c r="G782" s="41" t="s">
        <v>24</v>
      </c>
      <c r="H782" s="42" t="s">
        <v>80</v>
      </c>
    </row>
    <row r="783" spans="2:8" ht="18" customHeight="1" x14ac:dyDescent="0.25">
      <c r="B783" s="40">
        <f>SUBTOTAL(3,C$4:C783)</f>
        <v>750</v>
      </c>
      <c r="C783" s="41">
        <v>24020567</v>
      </c>
      <c r="D783" s="41" t="s">
        <v>547</v>
      </c>
      <c r="E783" s="41" t="s">
        <v>29</v>
      </c>
      <c r="F783" s="41" t="s">
        <v>71</v>
      </c>
      <c r="G783" s="41" t="s">
        <v>24</v>
      </c>
      <c r="H783" s="42" t="s">
        <v>80</v>
      </c>
    </row>
    <row r="784" spans="2:8" ht="18" customHeight="1" x14ac:dyDescent="0.25">
      <c r="B784" s="40">
        <f>SUBTOTAL(3,C$4:C784)</f>
        <v>751</v>
      </c>
      <c r="C784" s="41">
        <v>24091538</v>
      </c>
      <c r="D784" s="41" t="s">
        <v>555</v>
      </c>
      <c r="E784" s="41" t="s">
        <v>29</v>
      </c>
      <c r="F784" s="41" t="s">
        <v>71</v>
      </c>
      <c r="G784" s="41" t="s">
        <v>28</v>
      </c>
      <c r="H784" s="42" t="s">
        <v>80</v>
      </c>
    </row>
    <row r="785" spans="2:8" ht="18" customHeight="1" x14ac:dyDescent="0.25">
      <c r="B785" s="40">
        <f>SUBTOTAL(3,C$4:C785)</f>
        <v>752</v>
      </c>
      <c r="C785" s="41">
        <v>24030352</v>
      </c>
      <c r="D785" s="41" t="s">
        <v>617</v>
      </c>
      <c r="E785" s="41" t="s">
        <v>29</v>
      </c>
      <c r="F785" s="41" t="s">
        <v>71</v>
      </c>
      <c r="G785" s="41" t="s">
        <v>24</v>
      </c>
      <c r="H785" s="42"/>
    </row>
    <row r="786" spans="2:8" ht="18" customHeight="1" x14ac:dyDescent="0.25">
      <c r="B786" s="40">
        <f>SUBTOTAL(3,C$4:C786)</f>
        <v>753</v>
      </c>
      <c r="C786" s="41">
        <v>24111638</v>
      </c>
      <c r="D786" s="41" t="s">
        <v>640</v>
      </c>
      <c r="E786" s="41" t="s">
        <v>29</v>
      </c>
      <c r="F786" s="41" t="s">
        <v>71</v>
      </c>
      <c r="G786" s="41" t="s">
        <v>28</v>
      </c>
      <c r="H786" s="42" t="s">
        <v>80</v>
      </c>
    </row>
    <row r="787" spans="2:8" ht="18" customHeight="1" x14ac:dyDescent="0.25">
      <c r="B787" s="40">
        <f>SUBTOTAL(3,C$4:C787)</f>
        <v>754</v>
      </c>
      <c r="C787" s="41">
        <v>24112741</v>
      </c>
      <c r="D787" s="41" t="s">
        <v>670</v>
      </c>
      <c r="E787" s="41" t="s">
        <v>29</v>
      </c>
      <c r="F787" s="41" t="s">
        <v>71</v>
      </c>
      <c r="G787" s="41" t="s">
        <v>28</v>
      </c>
      <c r="H787" s="42" t="s">
        <v>80</v>
      </c>
    </row>
    <row r="788" spans="2:8" ht="18" customHeight="1" x14ac:dyDescent="0.25">
      <c r="B788" s="40">
        <f>SUBTOTAL(3,C$4:C788)</f>
        <v>755</v>
      </c>
      <c r="C788" s="41">
        <v>24029839</v>
      </c>
      <c r="D788" s="41" t="s">
        <v>679</v>
      </c>
      <c r="E788" s="41" t="s">
        <v>29</v>
      </c>
      <c r="F788" s="41" t="s">
        <v>71</v>
      </c>
      <c r="G788" s="41" t="s">
        <v>26</v>
      </c>
      <c r="H788" s="42" t="s">
        <v>80</v>
      </c>
    </row>
    <row r="789" spans="2:8" ht="18" customHeight="1" x14ac:dyDescent="0.25">
      <c r="B789" s="40">
        <f>SUBTOTAL(3,C$4:C789)</f>
        <v>756</v>
      </c>
      <c r="C789" s="41">
        <v>24301045</v>
      </c>
      <c r="D789" s="41" t="s">
        <v>701</v>
      </c>
      <c r="E789" s="41" t="s">
        <v>29</v>
      </c>
      <c r="F789" s="41" t="s">
        <v>71</v>
      </c>
      <c r="G789" s="41" t="s">
        <v>28</v>
      </c>
      <c r="H789" s="42"/>
    </row>
    <row r="790" spans="2:8" ht="18" customHeight="1" x14ac:dyDescent="0.25">
      <c r="B790" s="40">
        <f>SUBTOTAL(3,C$4:C790)</f>
        <v>757</v>
      </c>
      <c r="C790" s="41">
        <v>24112372</v>
      </c>
      <c r="D790" s="41" t="s">
        <v>716</v>
      </c>
      <c r="E790" s="41" t="s">
        <v>29</v>
      </c>
      <c r="F790" s="41" t="s">
        <v>71</v>
      </c>
      <c r="G790" s="41" t="s">
        <v>28</v>
      </c>
      <c r="H790" s="42"/>
    </row>
    <row r="791" spans="2:8" ht="18" customHeight="1" x14ac:dyDescent="0.25">
      <c r="B791" s="40">
        <f>SUBTOTAL(3,C$4:C791)</f>
        <v>758</v>
      </c>
      <c r="C791" s="41">
        <v>24038678</v>
      </c>
      <c r="D791" s="41" t="s">
        <v>796</v>
      </c>
      <c r="E791" s="41" t="s">
        <v>29</v>
      </c>
      <c r="F791" s="41" t="s">
        <v>71</v>
      </c>
      <c r="G791" s="41" t="s">
        <v>24</v>
      </c>
      <c r="H791" s="42" t="s">
        <v>80</v>
      </c>
    </row>
    <row r="792" spans="2:8" ht="18" customHeight="1" x14ac:dyDescent="0.25">
      <c r="B792" s="40">
        <f>SUBTOTAL(3,C$4:C792)</f>
        <v>759</v>
      </c>
      <c r="C792" s="41">
        <v>24024869</v>
      </c>
      <c r="D792" s="41" t="s">
        <v>815</v>
      </c>
      <c r="E792" s="41" t="s">
        <v>29</v>
      </c>
      <c r="F792" s="41" t="s">
        <v>71</v>
      </c>
      <c r="G792" s="41" t="s">
        <v>26</v>
      </c>
      <c r="H792" s="42" t="s">
        <v>80</v>
      </c>
    </row>
    <row r="793" spans="2:8" ht="18" customHeight="1" x14ac:dyDescent="0.25">
      <c r="B793" s="40">
        <f>SUBTOTAL(3,C$4:C793)</f>
        <v>760</v>
      </c>
      <c r="C793" s="41">
        <v>24019088</v>
      </c>
      <c r="D793" s="41" t="s">
        <v>844</v>
      </c>
      <c r="E793" s="41" t="s">
        <v>29</v>
      </c>
      <c r="F793" s="41" t="s">
        <v>71</v>
      </c>
      <c r="G793" s="41" t="s">
        <v>24</v>
      </c>
      <c r="H793" s="42"/>
    </row>
    <row r="794" spans="2:8" ht="18" customHeight="1" x14ac:dyDescent="0.25">
      <c r="B794" s="40">
        <f>SUBTOTAL(3,C$4:C794)</f>
        <v>761</v>
      </c>
      <c r="C794" s="41">
        <v>24089263</v>
      </c>
      <c r="D794" s="41" t="s">
        <v>864</v>
      </c>
      <c r="E794" s="41" t="s">
        <v>29</v>
      </c>
      <c r="F794" s="41" t="s">
        <v>71</v>
      </c>
      <c r="G794" s="41" t="s">
        <v>28</v>
      </c>
      <c r="H794" s="42"/>
    </row>
    <row r="795" spans="2:8" ht="18" customHeight="1" x14ac:dyDescent="0.25">
      <c r="B795" s="40">
        <f>SUBTOTAL(3,C$4:C795)</f>
        <v>762</v>
      </c>
      <c r="C795" s="41">
        <v>24025888</v>
      </c>
      <c r="D795" s="41" t="s">
        <v>66</v>
      </c>
      <c r="E795" s="41" t="s">
        <v>29</v>
      </c>
      <c r="F795" s="41" t="s">
        <v>67</v>
      </c>
      <c r="G795" s="41" t="s">
        <v>26</v>
      </c>
      <c r="H795" s="42"/>
    </row>
    <row r="796" spans="2:8" ht="18" customHeight="1" x14ac:dyDescent="0.25">
      <c r="B796" s="40">
        <f>SUBTOTAL(3,C$4:C796)</f>
        <v>763</v>
      </c>
      <c r="C796" s="41">
        <v>24021061</v>
      </c>
      <c r="D796" s="41" t="s">
        <v>78</v>
      </c>
      <c r="E796" s="41" t="s">
        <v>29</v>
      </c>
      <c r="F796" s="41" t="s">
        <v>67</v>
      </c>
      <c r="G796" s="41" t="s">
        <v>26</v>
      </c>
      <c r="H796" s="42"/>
    </row>
    <row r="797" spans="2:8" ht="18" customHeight="1" x14ac:dyDescent="0.25">
      <c r="B797" s="40">
        <f>SUBTOTAL(3,C$4:C797)</f>
        <v>764</v>
      </c>
      <c r="C797" s="41">
        <v>24039204</v>
      </c>
      <c r="D797" s="41" t="s">
        <v>87</v>
      </c>
      <c r="E797" s="41" t="s">
        <v>29</v>
      </c>
      <c r="F797" s="41" t="s">
        <v>67</v>
      </c>
      <c r="G797" s="41" t="s">
        <v>24</v>
      </c>
      <c r="H797" s="42"/>
    </row>
    <row r="798" spans="2:8" ht="18" customHeight="1" x14ac:dyDescent="0.25">
      <c r="B798" s="40">
        <f>SUBTOTAL(3,C$4:C798)</f>
        <v>765</v>
      </c>
      <c r="C798" s="41">
        <v>24022704</v>
      </c>
      <c r="D798" s="41" t="s">
        <v>91</v>
      </c>
      <c r="E798" s="41" t="s">
        <v>29</v>
      </c>
      <c r="F798" s="41" t="s">
        <v>67</v>
      </c>
      <c r="G798" s="41" t="s">
        <v>26</v>
      </c>
      <c r="H798" s="42"/>
    </row>
    <row r="799" spans="2:8" ht="18" customHeight="1" x14ac:dyDescent="0.25">
      <c r="B799" s="40">
        <f>SUBTOTAL(3,C$4:C799)</f>
        <v>766</v>
      </c>
      <c r="C799" s="41">
        <v>24029361</v>
      </c>
      <c r="D799" s="41" t="s">
        <v>125</v>
      </c>
      <c r="E799" s="41" t="s">
        <v>29</v>
      </c>
      <c r="F799" s="41" t="s">
        <v>67</v>
      </c>
      <c r="G799" s="41" t="s">
        <v>26</v>
      </c>
      <c r="H799" s="42"/>
    </row>
    <row r="800" spans="2:8" ht="18" customHeight="1" x14ac:dyDescent="0.25">
      <c r="B800" s="40">
        <f>SUBTOTAL(3,C$4:C800)</f>
        <v>767</v>
      </c>
      <c r="C800" s="41">
        <v>24021917</v>
      </c>
      <c r="D800" s="41" t="s">
        <v>247</v>
      </c>
      <c r="E800" s="41" t="s">
        <v>29</v>
      </c>
      <c r="F800" s="41" t="s">
        <v>67</v>
      </c>
      <c r="G800" s="41" t="s">
        <v>26</v>
      </c>
      <c r="H800" s="42"/>
    </row>
    <row r="801" spans="2:8" ht="18" customHeight="1" x14ac:dyDescent="0.25">
      <c r="B801" s="40">
        <f>SUBTOTAL(3,C$4:C801)</f>
        <v>768</v>
      </c>
      <c r="C801" s="41">
        <v>24025150</v>
      </c>
      <c r="D801" s="41" t="s">
        <v>265</v>
      </c>
      <c r="E801" s="41" t="s">
        <v>29</v>
      </c>
      <c r="F801" s="41" t="s">
        <v>67</v>
      </c>
      <c r="G801" s="41" t="s">
        <v>26</v>
      </c>
      <c r="H801" s="42"/>
    </row>
    <row r="802" spans="2:8" ht="18" customHeight="1" x14ac:dyDescent="0.25">
      <c r="B802" s="40">
        <f>SUBTOTAL(3,C$4:C802)</f>
        <v>769</v>
      </c>
      <c r="C802" s="41">
        <v>24032902</v>
      </c>
      <c r="D802" s="41" t="s">
        <v>325</v>
      </c>
      <c r="E802" s="41" t="s">
        <v>29</v>
      </c>
      <c r="F802" s="41" t="s">
        <v>67</v>
      </c>
      <c r="G802" s="41" t="s">
        <v>26</v>
      </c>
      <c r="H802" s="42"/>
    </row>
    <row r="803" spans="2:8" ht="18" customHeight="1" x14ac:dyDescent="0.25">
      <c r="B803" s="40">
        <f>SUBTOTAL(3,C$4:C803)</f>
        <v>770</v>
      </c>
      <c r="C803" s="41">
        <v>24029312</v>
      </c>
      <c r="D803" s="41" t="s">
        <v>356</v>
      </c>
      <c r="E803" s="41" t="s">
        <v>29</v>
      </c>
      <c r="F803" s="41" t="s">
        <v>67</v>
      </c>
      <c r="G803" s="41" t="s">
        <v>26</v>
      </c>
      <c r="H803" s="42"/>
    </row>
    <row r="804" spans="2:8" ht="18" customHeight="1" x14ac:dyDescent="0.25">
      <c r="B804" s="40">
        <f>SUBTOTAL(3,C$4:C804)</f>
        <v>771</v>
      </c>
      <c r="C804" s="41">
        <v>24031400</v>
      </c>
      <c r="D804" s="41" t="s">
        <v>357</v>
      </c>
      <c r="E804" s="41" t="s">
        <v>29</v>
      </c>
      <c r="F804" s="41" t="s">
        <v>67</v>
      </c>
      <c r="G804" s="41" t="s">
        <v>26</v>
      </c>
      <c r="H804" s="42"/>
    </row>
    <row r="805" spans="2:8" ht="18" customHeight="1" x14ac:dyDescent="0.25">
      <c r="B805" s="40">
        <f>SUBTOTAL(3,C$4:C805)</f>
        <v>772</v>
      </c>
      <c r="C805" s="41">
        <v>24030747</v>
      </c>
      <c r="D805" s="41" t="s">
        <v>472</v>
      </c>
      <c r="E805" s="41" t="s">
        <v>29</v>
      </c>
      <c r="F805" s="41" t="s">
        <v>67</v>
      </c>
      <c r="G805" s="41" t="s">
        <v>26</v>
      </c>
      <c r="H805" s="42"/>
    </row>
    <row r="806" spans="2:8" ht="18" customHeight="1" x14ac:dyDescent="0.25">
      <c r="B806" s="40">
        <f>SUBTOTAL(3,C$4:C806)</f>
        <v>773</v>
      </c>
      <c r="C806" s="41">
        <v>24243553</v>
      </c>
      <c r="D806" s="41" t="s">
        <v>492</v>
      </c>
      <c r="E806" s="41" t="s">
        <v>29</v>
      </c>
      <c r="F806" s="41" t="s">
        <v>67</v>
      </c>
      <c r="G806" s="41" t="s">
        <v>26</v>
      </c>
      <c r="H806" s="42"/>
    </row>
    <row r="807" spans="2:8" ht="18" customHeight="1" x14ac:dyDescent="0.25">
      <c r="B807" s="40">
        <f>SUBTOTAL(3,C$4:C807)</f>
        <v>774</v>
      </c>
      <c r="C807" s="41">
        <v>24025444</v>
      </c>
      <c r="D807" s="41" t="s">
        <v>502</v>
      </c>
      <c r="E807" s="41" t="s">
        <v>29</v>
      </c>
      <c r="F807" s="41" t="s">
        <v>67</v>
      </c>
      <c r="G807" s="41" t="s">
        <v>26</v>
      </c>
      <c r="H807" s="42"/>
    </row>
    <row r="808" spans="2:8" ht="18" customHeight="1" x14ac:dyDescent="0.25">
      <c r="B808" s="40">
        <f>SUBTOTAL(3,C$4:C808)</f>
        <v>775</v>
      </c>
      <c r="C808" s="41">
        <v>24122249</v>
      </c>
      <c r="D808" s="41" t="s">
        <v>538</v>
      </c>
      <c r="E808" s="41" t="s">
        <v>29</v>
      </c>
      <c r="F808" s="41" t="s">
        <v>67</v>
      </c>
      <c r="G808" s="41" t="s">
        <v>26</v>
      </c>
      <c r="H808" s="42" t="s">
        <v>447</v>
      </c>
    </row>
    <row r="809" spans="2:8" ht="18" customHeight="1" x14ac:dyDescent="0.25">
      <c r="B809" s="40">
        <f>SUBTOTAL(3,C$4:C809)</f>
        <v>776</v>
      </c>
      <c r="C809" s="41">
        <v>24215728</v>
      </c>
      <c r="D809" s="41" t="s">
        <v>561</v>
      </c>
      <c r="E809" s="41" t="s">
        <v>29</v>
      </c>
      <c r="F809" s="41" t="s">
        <v>67</v>
      </c>
      <c r="G809" s="41" t="s">
        <v>26</v>
      </c>
      <c r="H809" s="42"/>
    </row>
    <row r="810" spans="2:8" ht="18" customHeight="1" x14ac:dyDescent="0.25">
      <c r="B810" s="40">
        <f>SUBTOTAL(3,C$4:C810)</f>
        <v>777</v>
      </c>
      <c r="C810" s="41">
        <v>24027453</v>
      </c>
      <c r="D810" s="41" t="s">
        <v>566</v>
      </c>
      <c r="E810" s="41" t="s">
        <v>29</v>
      </c>
      <c r="F810" s="41" t="s">
        <v>67</v>
      </c>
      <c r="G810" s="41" t="s">
        <v>26</v>
      </c>
      <c r="H810" s="42"/>
    </row>
    <row r="811" spans="2:8" ht="18" customHeight="1" x14ac:dyDescent="0.25">
      <c r="B811" s="40">
        <f>SUBTOTAL(3,C$4:C811)</f>
        <v>778</v>
      </c>
      <c r="C811" s="41">
        <v>24025737</v>
      </c>
      <c r="D811" s="41" t="s">
        <v>683</v>
      </c>
      <c r="E811" s="41" t="s">
        <v>29</v>
      </c>
      <c r="F811" s="41" t="s">
        <v>67</v>
      </c>
      <c r="G811" s="41" t="s">
        <v>26</v>
      </c>
      <c r="H811" s="42"/>
    </row>
    <row r="812" spans="2:8" ht="18" customHeight="1" x14ac:dyDescent="0.25">
      <c r="B812" s="40">
        <f>SUBTOTAL(3,C$4:C812)</f>
        <v>779</v>
      </c>
      <c r="C812" s="41">
        <v>24170901</v>
      </c>
      <c r="D812" s="41" t="s">
        <v>775</v>
      </c>
      <c r="E812" s="41" t="s">
        <v>29</v>
      </c>
      <c r="F812" s="41" t="s">
        <v>67</v>
      </c>
      <c r="G812" s="41" t="s">
        <v>26</v>
      </c>
      <c r="H812" s="42"/>
    </row>
    <row r="813" spans="2:8" ht="18" customHeight="1" x14ac:dyDescent="0.25">
      <c r="B813" s="40">
        <f>SUBTOTAL(3,C$4:C813)</f>
        <v>780</v>
      </c>
      <c r="C813" s="41">
        <v>24024804</v>
      </c>
      <c r="D813" s="41" t="s">
        <v>803</v>
      </c>
      <c r="E813" s="41" t="s">
        <v>29</v>
      </c>
      <c r="F813" s="41" t="s">
        <v>67</v>
      </c>
      <c r="G813" s="41" t="s">
        <v>26</v>
      </c>
      <c r="H813" s="42"/>
    </row>
    <row r="814" spans="2:8" ht="18" customHeight="1" x14ac:dyDescent="0.25">
      <c r="B814" s="40">
        <f>SUBTOTAL(3,C$4:C814)</f>
        <v>781</v>
      </c>
      <c r="C814" s="41">
        <v>24024166</v>
      </c>
      <c r="D814" s="41" t="s">
        <v>886</v>
      </c>
      <c r="E814" s="41" t="s">
        <v>29</v>
      </c>
      <c r="F814" s="41" t="s">
        <v>67</v>
      </c>
      <c r="G814" s="41" t="s">
        <v>26</v>
      </c>
      <c r="H814" s="42"/>
    </row>
    <row r="815" spans="2:8" ht="18" customHeight="1" x14ac:dyDescent="0.25">
      <c r="B815" s="40">
        <f>SUBTOTAL(3,C$4:C815)</f>
        <v>782</v>
      </c>
      <c r="C815" s="41">
        <v>24022393</v>
      </c>
      <c r="D815" s="41" t="s">
        <v>889</v>
      </c>
      <c r="E815" s="41" t="s">
        <v>30</v>
      </c>
      <c r="F815" s="41" t="s">
        <v>30</v>
      </c>
      <c r="G815" s="41" t="s">
        <v>26</v>
      </c>
      <c r="H815" s="42"/>
    </row>
    <row r="816" spans="2:8" ht="18" customHeight="1" x14ac:dyDescent="0.25">
      <c r="B816" s="40">
        <f>SUBTOTAL(3,C$4:C816)</f>
        <v>783</v>
      </c>
      <c r="C816" s="41">
        <v>24255944</v>
      </c>
      <c r="D816" s="41" t="s">
        <v>890</v>
      </c>
      <c r="E816" s="41" t="s">
        <v>30</v>
      </c>
      <c r="F816" s="41" t="s">
        <v>30</v>
      </c>
      <c r="G816" s="41" t="s">
        <v>26</v>
      </c>
      <c r="H816" s="42"/>
    </row>
    <row r="817" spans="2:8" ht="18" customHeight="1" x14ac:dyDescent="0.25">
      <c r="B817" s="40">
        <f>SUBTOTAL(3,C$4:C817)</f>
        <v>784</v>
      </c>
      <c r="C817" s="41">
        <v>24031742</v>
      </c>
      <c r="D817" s="41" t="s">
        <v>891</v>
      </c>
      <c r="E817" s="41" t="s">
        <v>30</v>
      </c>
      <c r="F817" s="41" t="s">
        <v>30</v>
      </c>
      <c r="G817" s="41" t="s">
        <v>26</v>
      </c>
      <c r="H817" s="42"/>
    </row>
    <row r="818" spans="2:8" ht="18" customHeight="1" x14ac:dyDescent="0.25">
      <c r="B818" s="40">
        <f>SUBTOTAL(3,C$4:C818)</f>
        <v>785</v>
      </c>
      <c r="C818" s="41">
        <v>24052123</v>
      </c>
      <c r="D818" s="41" t="s">
        <v>892</v>
      </c>
      <c r="E818" s="41" t="s">
        <v>30</v>
      </c>
      <c r="F818" s="41" t="s">
        <v>30</v>
      </c>
      <c r="G818" s="41" t="s">
        <v>26</v>
      </c>
      <c r="H818" s="42"/>
    </row>
    <row r="819" spans="2:8" ht="18" hidden="1" customHeight="1" x14ac:dyDescent="0.25">
      <c r="B819" s="40">
        <f>SUBTOTAL(3,C$4:C819)</f>
        <v>785</v>
      </c>
      <c r="C819" s="41">
        <v>24119894</v>
      </c>
      <c r="D819" s="41" t="s">
        <v>893</v>
      </c>
      <c r="E819" s="41" t="s">
        <v>30</v>
      </c>
      <c r="F819" s="41" t="s">
        <v>30</v>
      </c>
      <c r="G819" s="41" t="s">
        <v>27</v>
      </c>
      <c r="H819" s="42"/>
    </row>
    <row r="820" spans="2:8" ht="18" customHeight="1" x14ac:dyDescent="0.25">
      <c r="B820" s="40">
        <f>SUBTOTAL(3,C$4:C820)</f>
        <v>786</v>
      </c>
      <c r="C820" s="41">
        <v>24025384</v>
      </c>
      <c r="D820" s="41" t="s">
        <v>894</v>
      </c>
      <c r="E820" s="41" t="s">
        <v>30</v>
      </c>
      <c r="F820" s="41" t="s">
        <v>30</v>
      </c>
      <c r="G820" s="41" t="s">
        <v>26</v>
      </c>
      <c r="H820" s="42"/>
    </row>
    <row r="821" spans="2:8" ht="18" customHeight="1" x14ac:dyDescent="0.25">
      <c r="B821" s="40">
        <f>SUBTOTAL(3,C$4:C821)</f>
        <v>787</v>
      </c>
      <c r="C821" s="41">
        <v>24274284</v>
      </c>
      <c r="D821" s="41" t="s">
        <v>895</v>
      </c>
      <c r="E821" s="41" t="s">
        <v>30</v>
      </c>
      <c r="F821" s="41" t="s">
        <v>30</v>
      </c>
      <c r="G821" s="41" t="s">
        <v>26</v>
      </c>
      <c r="H821" s="42"/>
    </row>
    <row r="822" spans="2:8" ht="18" customHeight="1" x14ac:dyDescent="0.25">
      <c r="B822" s="40">
        <f>SUBTOTAL(3,C$4:C822)</f>
        <v>788</v>
      </c>
      <c r="C822" s="41">
        <v>24316423</v>
      </c>
      <c r="D822" s="41" t="s">
        <v>896</v>
      </c>
      <c r="E822" s="41" t="s">
        <v>30</v>
      </c>
      <c r="F822" s="41" t="s">
        <v>30</v>
      </c>
      <c r="G822" s="41" t="s">
        <v>26</v>
      </c>
      <c r="H822" s="42"/>
    </row>
    <row r="823" spans="2:8" ht="18" customHeight="1" x14ac:dyDescent="0.25">
      <c r="B823" s="40">
        <f>SUBTOTAL(3,C$4:C823)</f>
        <v>789</v>
      </c>
      <c r="C823" s="41">
        <v>24120405</v>
      </c>
      <c r="D823" s="41" t="s">
        <v>897</v>
      </c>
      <c r="E823" s="41" t="s">
        <v>30</v>
      </c>
      <c r="F823" s="41" t="s">
        <v>30</v>
      </c>
      <c r="G823" s="41" t="s">
        <v>26</v>
      </c>
      <c r="H823" s="42"/>
    </row>
    <row r="824" spans="2:8" ht="18" customHeight="1" x14ac:dyDescent="0.25">
      <c r="B824" s="40">
        <f>SUBTOTAL(3,C$4:C824)</f>
        <v>790</v>
      </c>
      <c r="C824" s="41">
        <v>24022395</v>
      </c>
      <c r="D824" s="41" t="s">
        <v>898</v>
      </c>
      <c r="E824" s="41" t="s">
        <v>30</v>
      </c>
      <c r="F824" s="41" t="s">
        <v>30</v>
      </c>
      <c r="G824" s="41" t="s">
        <v>26</v>
      </c>
      <c r="H824" s="42"/>
    </row>
    <row r="825" spans="2:8" ht="18" customHeight="1" x14ac:dyDescent="0.25">
      <c r="B825" s="40">
        <f>SUBTOTAL(3,C$4:C825)</f>
        <v>791</v>
      </c>
      <c r="C825" s="41">
        <v>24021815</v>
      </c>
      <c r="D825" s="41" t="s">
        <v>899</v>
      </c>
      <c r="E825" s="41" t="s">
        <v>30</v>
      </c>
      <c r="F825" s="41" t="s">
        <v>30</v>
      </c>
      <c r="G825" s="41" t="s">
        <v>26</v>
      </c>
      <c r="H825" s="42"/>
    </row>
    <row r="826" spans="2:8" ht="18" customHeight="1" x14ac:dyDescent="0.25">
      <c r="B826" s="40">
        <f>SUBTOTAL(3,C$4:C826)</f>
        <v>792</v>
      </c>
      <c r="C826" s="41">
        <v>24029833</v>
      </c>
      <c r="D826" s="41" t="s">
        <v>900</v>
      </c>
      <c r="E826" s="41" t="s">
        <v>30</v>
      </c>
      <c r="F826" s="41" t="s">
        <v>30</v>
      </c>
      <c r="G826" s="41" t="s">
        <v>26</v>
      </c>
      <c r="H826" s="42"/>
    </row>
    <row r="827" spans="2:8" ht="18" customHeight="1" x14ac:dyDescent="0.25">
      <c r="B827" s="40">
        <f>SUBTOTAL(3,C$4:C827)</f>
        <v>793</v>
      </c>
      <c r="C827" s="41">
        <v>24020338</v>
      </c>
      <c r="D827" s="41" t="s">
        <v>901</v>
      </c>
      <c r="E827" s="41" t="s">
        <v>30</v>
      </c>
      <c r="F827" s="41" t="s">
        <v>30</v>
      </c>
      <c r="G827" s="41" t="s">
        <v>26</v>
      </c>
      <c r="H827" s="42"/>
    </row>
    <row r="828" spans="2:8" ht="18" customHeight="1" x14ac:dyDescent="0.25">
      <c r="B828" s="40">
        <f>SUBTOTAL(3,C$4:C828)</f>
        <v>794</v>
      </c>
      <c r="C828" s="41">
        <v>24022697</v>
      </c>
      <c r="D828" s="41" t="s">
        <v>902</v>
      </c>
      <c r="E828" s="41" t="s">
        <v>30</v>
      </c>
      <c r="F828" s="41" t="s">
        <v>30</v>
      </c>
      <c r="G828" s="41" t="s">
        <v>28</v>
      </c>
      <c r="H828" s="42"/>
    </row>
    <row r="829" spans="2:8" ht="18" customHeight="1" x14ac:dyDescent="0.25">
      <c r="B829" s="40">
        <f>SUBTOTAL(3,C$4:C829)</f>
        <v>795</v>
      </c>
      <c r="C829" s="41">
        <v>24024324</v>
      </c>
      <c r="D829" s="41" t="s">
        <v>903</v>
      </c>
      <c r="E829" s="41" t="s">
        <v>30</v>
      </c>
      <c r="F829" s="41" t="s">
        <v>30</v>
      </c>
      <c r="G829" s="41" t="s">
        <v>28</v>
      </c>
      <c r="H829" s="42"/>
    </row>
    <row r="830" spans="2:8" ht="18" customHeight="1" x14ac:dyDescent="0.25">
      <c r="B830" s="40">
        <f>SUBTOTAL(3,C$4:C830)</f>
        <v>796</v>
      </c>
      <c r="C830" s="41">
        <v>24034761</v>
      </c>
      <c r="D830" s="41" t="s">
        <v>904</v>
      </c>
      <c r="E830" s="41" t="s">
        <v>30</v>
      </c>
      <c r="F830" s="41" t="s">
        <v>30</v>
      </c>
      <c r="G830" s="41" t="s">
        <v>26</v>
      </c>
      <c r="H830" s="42"/>
    </row>
    <row r="831" spans="2:8" ht="18" customHeight="1" x14ac:dyDescent="0.25">
      <c r="B831" s="40">
        <f>SUBTOTAL(3,C$4:C831)</f>
        <v>797</v>
      </c>
      <c r="C831" s="41">
        <v>24036052</v>
      </c>
      <c r="D831" s="41" t="s">
        <v>905</v>
      </c>
      <c r="E831" s="41" t="s">
        <v>30</v>
      </c>
      <c r="F831" s="41" t="s">
        <v>30</v>
      </c>
      <c r="G831" s="41" t="s">
        <v>26</v>
      </c>
      <c r="H831" s="42"/>
    </row>
    <row r="832" spans="2:8" ht="18" customHeight="1" x14ac:dyDescent="0.25">
      <c r="B832" s="40">
        <f>SUBTOTAL(3,C$4:C832)</f>
        <v>798</v>
      </c>
      <c r="C832" s="41">
        <v>24031083</v>
      </c>
      <c r="D832" s="41" t="s">
        <v>906</v>
      </c>
      <c r="E832" s="41" t="s">
        <v>30</v>
      </c>
      <c r="F832" s="41" t="s">
        <v>30</v>
      </c>
      <c r="G832" s="41" t="s">
        <v>26</v>
      </c>
      <c r="H832" s="42"/>
    </row>
    <row r="833" spans="2:8" ht="18" customHeight="1" x14ac:dyDescent="0.25">
      <c r="B833" s="40">
        <f>SUBTOTAL(3,C$4:C833)</f>
        <v>799</v>
      </c>
      <c r="C833" s="41">
        <v>24024851</v>
      </c>
      <c r="D833" s="41" t="s">
        <v>907</v>
      </c>
      <c r="E833" s="41" t="s">
        <v>30</v>
      </c>
      <c r="F833" s="41" t="s">
        <v>30</v>
      </c>
      <c r="G833" s="41" t="s">
        <v>26</v>
      </c>
      <c r="H833" s="42"/>
    </row>
    <row r="834" spans="2:8" ht="18" customHeight="1" x14ac:dyDescent="0.25">
      <c r="B834" s="40">
        <f>SUBTOTAL(3,C$4:C834)</f>
        <v>800</v>
      </c>
      <c r="C834" s="41">
        <v>24280396</v>
      </c>
      <c r="D834" s="41" t="s">
        <v>908</v>
      </c>
      <c r="E834" s="41" t="s">
        <v>30</v>
      </c>
      <c r="F834" s="41" t="s">
        <v>30</v>
      </c>
      <c r="G834" s="41" t="s">
        <v>26</v>
      </c>
      <c r="H834" s="42"/>
    </row>
    <row r="835" spans="2:8" ht="18" customHeight="1" x14ac:dyDescent="0.25">
      <c r="B835" s="40">
        <f>SUBTOTAL(3,C$4:C835)</f>
        <v>801</v>
      </c>
      <c r="C835" s="41">
        <v>24225276</v>
      </c>
      <c r="D835" s="41" t="s">
        <v>909</v>
      </c>
      <c r="E835" s="41" t="s">
        <v>30</v>
      </c>
      <c r="F835" s="41" t="s">
        <v>30</v>
      </c>
      <c r="G835" s="41" t="s">
        <v>26</v>
      </c>
      <c r="H835" s="42"/>
    </row>
    <row r="836" spans="2:8" ht="18" customHeight="1" x14ac:dyDescent="0.25">
      <c r="B836" s="40">
        <f>SUBTOTAL(3,C$4:C836)</f>
        <v>802</v>
      </c>
      <c r="C836" s="41">
        <v>24029590</v>
      </c>
      <c r="D836" s="41" t="s">
        <v>910</v>
      </c>
      <c r="E836" s="41" t="s">
        <v>30</v>
      </c>
      <c r="F836" s="41" t="s">
        <v>30</v>
      </c>
      <c r="G836" s="41" t="s">
        <v>26</v>
      </c>
      <c r="H836" s="42"/>
    </row>
    <row r="837" spans="2:8" ht="18" customHeight="1" x14ac:dyDescent="0.25">
      <c r="B837" s="40">
        <f>SUBTOTAL(3,C$4:C837)</f>
        <v>803</v>
      </c>
      <c r="C837" s="41">
        <v>24030835</v>
      </c>
      <c r="D837" s="41" t="s">
        <v>911</v>
      </c>
      <c r="E837" s="41" t="s">
        <v>30</v>
      </c>
      <c r="F837" s="41" t="s">
        <v>30</v>
      </c>
      <c r="G837" s="41" t="s">
        <v>26</v>
      </c>
      <c r="H837" s="42"/>
    </row>
    <row r="838" spans="2:8" ht="18" customHeight="1" x14ac:dyDescent="0.25">
      <c r="B838" s="40">
        <f>SUBTOTAL(3,C$4:C838)</f>
        <v>804</v>
      </c>
      <c r="C838" s="41">
        <v>24020730</v>
      </c>
      <c r="D838" s="41" t="s">
        <v>912</v>
      </c>
      <c r="E838" s="41" t="s">
        <v>30</v>
      </c>
      <c r="F838" s="41" t="s">
        <v>30</v>
      </c>
      <c r="G838" s="41" t="s">
        <v>26</v>
      </c>
      <c r="H838" s="42"/>
    </row>
    <row r="839" spans="2:8" ht="18" customHeight="1" x14ac:dyDescent="0.25">
      <c r="B839" s="40">
        <f>SUBTOTAL(3,C$4:C839)</f>
        <v>805</v>
      </c>
      <c r="C839" s="41">
        <v>24023689</v>
      </c>
      <c r="D839" s="41" t="s">
        <v>913</v>
      </c>
      <c r="E839" s="41" t="s">
        <v>30</v>
      </c>
      <c r="F839" s="41" t="s">
        <v>30</v>
      </c>
      <c r="G839" s="41" t="s">
        <v>26</v>
      </c>
      <c r="H839" s="42"/>
    </row>
    <row r="840" spans="2:8" ht="18" customHeight="1" x14ac:dyDescent="0.25">
      <c r="B840" s="40">
        <f>SUBTOTAL(3,C$4:C840)</f>
        <v>806</v>
      </c>
      <c r="C840" s="41">
        <v>24035228</v>
      </c>
      <c r="D840" s="41" t="s">
        <v>914</v>
      </c>
      <c r="E840" s="41" t="s">
        <v>30</v>
      </c>
      <c r="F840" s="41" t="s">
        <v>30</v>
      </c>
      <c r="G840" s="41" t="s">
        <v>28</v>
      </c>
      <c r="H840" s="42"/>
    </row>
    <row r="841" spans="2:8" ht="18" customHeight="1" x14ac:dyDescent="0.25">
      <c r="B841" s="40">
        <f>SUBTOTAL(3,C$4:C841)</f>
        <v>807</v>
      </c>
      <c r="C841" s="41">
        <v>24019522</v>
      </c>
      <c r="D841" s="41" t="s">
        <v>915</v>
      </c>
      <c r="E841" s="41" t="s">
        <v>30</v>
      </c>
      <c r="F841" s="41" t="s">
        <v>30</v>
      </c>
      <c r="G841" s="41" t="s">
        <v>28</v>
      </c>
      <c r="H841" s="42"/>
    </row>
    <row r="842" spans="2:8" ht="18" customHeight="1" x14ac:dyDescent="0.25">
      <c r="B842" s="40">
        <f>SUBTOTAL(3,C$4:C842)</f>
        <v>808</v>
      </c>
      <c r="C842" s="41">
        <v>24243602</v>
      </c>
      <c r="D842" s="41" t="s">
        <v>916</v>
      </c>
      <c r="E842" s="41" t="s">
        <v>30</v>
      </c>
      <c r="F842" s="41" t="s">
        <v>30</v>
      </c>
      <c r="G842" s="41" t="s">
        <v>26</v>
      </c>
      <c r="H842" s="42"/>
    </row>
    <row r="843" spans="2:8" ht="18" customHeight="1" x14ac:dyDescent="0.25">
      <c r="B843" s="40">
        <f>SUBTOTAL(3,C$4:C843)</f>
        <v>809</v>
      </c>
      <c r="C843" s="41">
        <v>24027718</v>
      </c>
      <c r="D843" s="41" t="s">
        <v>917</v>
      </c>
      <c r="E843" s="41" t="s">
        <v>30</v>
      </c>
      <c r="F843" s="41" t="s">
        <v>30</v>
      </c>
      <c r="G843" s="41" t="s">
        <v>26</v>
      </c>
      <c r="H843" s="42"/>
    </row>
    <row r="844" spans="2:8" ht="18" customHeight="1" x14ac:dyDescent="0.25">
      <c r="B844" s="40">
        <f>SUBTOTAL(3,C$4:C844)</f>
        <v>810</v>
      </c>
      <c r="C844" s="41">
        <v>24036146</v>
      </c>
      <c r="D844" s="41" t="s">
        <v>918</v>
      </c>
      <c r="E844" s="41" t="s">
        <v>30</v>
      </c>
      <c r="F844" s="41" t="s">
        <v>30</v>
      </c>
      <c r="G844" s="41" t="s">
        <v>26</v>
      </c>
      <c r="H844" s="42"/>
    </row>
    <row r="845" spans="2:8" ht="18" customHeight="1" x14ac:dyDescent="0.25">
      <c r="B845" s="40">
        <f>SUBTOTAL(3,C$4:C845)</f>
        <v>811</v>
      </c>
      <c r="C845" s="41">
        <v>24038752</v>
      </c>
      <c r="D845" s="41" t="s">
        <v>919</v>
      </c>
      <c r="E845" s="41" t="s">
        <v>30</v>
      </c>
      <c r="F845" s="41" t="s">
        <v>30</v>
      </c>
      <c r="G845" s="41" t="s">
        <v>26</v>
      </c>
      <c r="H845" s="42"/>
    </row>
    <row r="846" spans="2:8" ht="18" customHeight="1" x14ac:dyDescent="0.25">
      <c r="B846" s="40">
        <f>SUBTOTAL(3,C$4:C846)</f>
        <v>812</v>
      </c>
      <c r="C846" s="41">
        <v>24027290</v>
      </c>
      <c r="D846" s="41" t="s">
        <v>920</v>
      </c>
      <c r="E846" s="41" t="s">
        <v>30</v>
      </c>
      <c r="F846" s="41" t="s">
        <v>30</v>
      </c>
      <c r="G846" s="41" t="s">
        <v>28</v>
      </c>
      <c r="H846" s="42"/>
    </row>
    <row r="847" spans="2:8" ht="18" customHeight="1" x14ac:dyDescent="0.25">
      <c r="B847" s="40">
        <f>SUBTOTAL(3,C$4:C847)</f>
        <v>813</v>
      </c>
      <c r="C847" s="41">
        <v>24038152</v>
      </c>
      <c r="D847" s="41" t="s">
        <v>921</v>
      </c>
      <c r="E847" s="41" t="s">
        <v>30</v>
      </c>
      <c r="F847" s="41" t="s">
        <v>30</v>
      </c>
      <c r="G847" s="41" t="s">
        <v>26</v>
      </c>
      <c r="H847" s="42"/>
    </row>
    <row r="848" spans="2:8" ht="18" customHeight="1" x14ac:dyDescent="0.25">
      <c r="B848" s="40">
        <f>SUBTOTAL(3,C$4:C848)</f>
        <v>814</v>
      </c>
      <c r="C848" s="41">
        <v>24022042</v>
      </c>
      <c r="D848" s="41" t="s">
        <v>922</v>
      </c>
      <c r="E848" s="41" t="s">
        <v>30</v>
      </c>
      <c r="F848" s="41" t="s">
        <v>30</v>
      </c>
      <c r="G848" s="41" t="s">
        <v>26</v>
      </c>
      <c r="H848" s="42"/>
    </row>
    <row r="849" spans="2:8" ht="18" customHeight="1" x14ac:dyDescent="0.25">
      <c r="B849" s="40">
        <f>SUBTOTAL(3,C$4:C849)</f>
        <v>815</v>
      </c>
      <c r="C849" s="41">
        <v>24120622</v>
      </c>
      <c r="D849" s="41" t="s">
        <v>923</v>
      </c>
      <c r="E849" s="41" t="s">
        <v>30</v>
      </c>
      <c r="F849" s="41" t="s">
        <v>30</v>
      </c>
      <c r="G849" s="41" t="s">
        <v>26</v>
      </c>
      <c r="H849" s="42"/>
    </row>
    <row r="850" spans="2:8" ht="18" customHeight="1" x14ac:dyDescent="0.25">
      <c r="B850" s="40">
        <f>SUBTOTAL(3,C$4:C850)</f>
        <v>816</v>
      </c>
      <c r="C850" s="41">
        <v>24024336</v>
      </c>
      <c r="D850" s="41" t="s">
        <v>924</v>
      </c>
      <c r="E850" s="41" t="s">
        <v>30</v>
      </c>
      <c r="F850" s="41" t="s">
        <v>30</v>
      </c>
      <c r="G850" s="41" t="s">
        <v>26</v>
      </c>
      <c r="H850" s="42"/>
    </row>
    <row r="851" spans="2:8" ht="18" customHeight="1" x14ac:dyDescent="0.25">
      <c r="B851" s="40">
        <f>SUBTOTAL(3,C$4:C851)</f>
        <v>817</v>
      </c>
      <c r="C851" s="41">
        <v>24022089</v>
      </c>
      <c r="D851" s="41" t="s">
        <v>925</v>
      </c>
      <c r="E851" s="41" t="s">
        <v>30</v>
      </c>
      <c r="F851" s="41" t="s">
        <v>30</v>
      </c>
      <c r="G851" s="41" t="s">
        <v>26</v>
      </c>
      <c r="H851" s="42"/>
    </row>
    <row r="852" spans="2:8" ht="18" customHeight="1" x14ac:dyDescent="0.25">
      <c r="B852" s="40">
        <f>SUBTOTAL(3,C$4:C852)</f>
        <v>818</v>
      </c>
      <c r="C852" s="41">
        <v>24020968</v>
      </c>
      <c r="D852" s="41" t="s">
        <v>926</v>
      </c>
      <c r="E852" s="41" t="s">
        <v>30</v>
      </c>
      <c r="F852" s="41" t="s">
        <v>30</v>
      </c>
      <c r="G852" s="41" t="s">
        <v>26</v>
      </c>
      <c r="H852" s="42"/>
    </row>
    <row r="853" spans="2:8" ht="18" customHeight="1" x14ac:dyDescent="0.25">
      <c r="B853" s="40">
        <f>SUBTOTAL(3,C$4:C853)</f>
        <v>819</v>
      </c>
      <c r="C853" s="41">
        <v>24035112</v>
      </c>
      <c r="D853" s="41" t="s">
        <v>927</v>
      </c>
      <c r="E853" s="41" t="s">
        <v>30</v>
      </c>
      <c r="F853" s="41" t="s">
        <v>30</v>
      </c>
      <c r="G853" s="41" t="s">
        <v>26</v>
      </c>
      <c r="H853" s="42"/>
    </row>
    <row r="854" spans="2:8" ht="18" customHeight="1" x14ac:dyDescent="0.25">
      <c r="B854" s="40">
        <f>SUBTOTAL(3,C$4:C854)</f>
        <v>820</v>
      </c>
      <c r="C854" s="41">
        <v>24030528</v>
      </c>
      <c r="D854" s="41" t="s">
        <v>928</v>
      </c>
      <c r="E854" s="41" t="s">
        <v>30</v>
      </c>
      <c r="F854" s="41" t="s">
        <v>30</v>
      </c>
      <c r="G854" s="41" t="s">
        <v>28</v>
      </c>
      <c r="H854" s="42"/>
    </row>
    <row r="855" spans="2:8" ht="18" customHeight="1" x14ac:dyDescent="0.25">
      <c r="B855" s="40">
        <f>SUBTOTAL(3,C$4:C855)</f>
        <v>821</v>
      </c>
      <c r="C855" s="41">
        <v>24255686</v>
      </c>
      <c r="D855" s="41" t="s">
        <v>929</v>
      </c>
      <c r="E855" s="41" t="s">
        <v>30</v>
      </c>
      <c r="F855" s="41" t="s">
        <v>30</v>
      </c>
      <c r="G855" s="41" t="s">
        <v>26</v>
      </c>
      <c r="H855" s="42"/>
    </row>
    <row r="856" spans="2:8" ht="18" hidden="1" customHeight="1" x14ac:dyDescent="0.25">
      <c r="B856" s="40">
        <f>SUBTOTAL(3,C$4:C856)</f>
        <v>821</v>
      </c>
      <c r="C856" s="41">
        <v>24104224</v>
      </c>
      <c r="D856" s="41" t="s">
        <v>930</v>
      </c>
      <c r="E856" s="41" t="s">
        <v>30</v>
      </c>
      <c r="F856" s="41" t="s">
        <v>30</v>
      </c>
      <c r="G856" s="41" t="s">
        <v>27</v>
      </c>
      <c r="H856" s="42"/>
    </row>
    <row r="857" spans="2:8" ht="18" customHeight="1" x14ac:dyDescent="0.25">
      <c r="B857" s="40">
        <f>SUBTOTAL(3,C$4:C857)</f>
        <v>822</v>
      </c>
      <c r="C857" s="41">
        <v>24023937</v>
      </c>
      <c r="D857" s="41" t="s">
        <v>931</v>
      </c>
      <c r="E857" s="41" t="s">
        <v>30</v>
      </c>
      <c r="F857" s="41" t="s">
        <v>30</v>
      </c>
      <c r="G857" s="41" t="s">
        <v>28</v>
      </c>
      <c r="H857" s="42"/>
    </row>
    <row r="858" spans="2:8" ht="18" customHeight="1" x14ac:dyDescent="0.25">
      <c r="B858" s="40">
        <f>SUBTOTAL(3,C$4:C858)</f>
        <v>823</v>
      </c>
      <c r="C858" s="41">
        <v>24040206</v>
      </c>
      <c r="D858" s="41" t="s">
        <v>932</v>
      </c>
      <c r="E858" s="41" t="s">
        <v>30</v>
      </c>
      <c r="F858" s="41" t="s">
        <v>30</v>
      </c>
      <c r="G858" s="41" t="s">
        <v>26</v>
      </c>
      <c r="H858" s="42"/>
    </row>
    <row r="859" spans="2:8" ht="18" customHeight="1" x14ac:dyDescent="0.25">
      <c r="B859" s="40">
        <f>SUBTOTAL(3,C$4:C859)</f>
        <v>824</v>
      </c>
      <c r="C859" s="41">
        <v>24032867</v>
      </c>
      <c r="D859" s="41" t="s">
        <v>933</v>
      </c>
      <c r="E859" s="41" t="s">
        <v>30</v>
      </c>
      <c r="F859" s="41" t="s">
        <v>30</v>
      </c>
      <c r="G859" s="41" t="s">
        <v>26</v>
      </c>
      <c r="H859" s="42"/>
    </row>
    <row r="860" spans="2:8" ht="18" customHeight="1" x14ac:dyDescent="0.25">
      <c r="B860" s="40">
        <f>SUBTOTAL(3,C$4:C860)</f>
        <v>825</v>
      </c>
      <c r="C860" s="41">
        <v>24027713</v>
      </c>
      <c r="D860" s="41" t="s">
        <v>934</v>
      </c>
      <c r="E860" s="41" t="s">
        <v>30</v>
      </c>
      <c r="F860" s="41" t="s">
        <v>30</v>
      </c>
      <c r="G860" s="41" t="s">
        <v>26</v>
      </c>
      <c r="H860" s="42"/>
    </row>
    <row r="861" spans="2:8" ht="18" customHeight="1" x14ac:dyDescent="0.25">
      <c r="B861" s="40">
        <f>SUBTOTAL(3,C$4:C861)</f>
        <v>826</v>
      </c>
      <c r="C861" s="41">
        <v>24028002</v>
      </c>
      <c r="D861" s="41" t="s">
        <v>935</v>
      </c>
      <c r="E861" s="41" t="s">
        <v>30</v>
      </c>
      <c r="F861" s="41" t="s">
        <v>30</v>
      </c>
      <c r="G861" s="41" t="s">
        <v>26</v>
      </c>
      <c r="H861" s="42"/>
    </row>
    <row r="862" spans="2:8" ht="18" customHeight="1" x14ac:dyDescent="0.25">
      <c r="B862" s="40">
        <f>SUBTOTAL(3,C$4:C862)</f>
        <v>827</v>
      </c>
      <c r="C862" s="41">
        <v>24020246</v>
      </c>
      <c r="D862" s="41" t="s">
        <v>936</v>
      </c>
      <c r="E862" s="41" t="s">
        <v>30</v>
      </c>
      <c r="F862" s="41" t="s">
        <v>30</v>
      </c>
      <c r="G862" s="41" t="s">
        <v>24</v>
      </c>
      <c r="H862" s="42"/>
    </row>
    <row r="863" spans="2:8" ht="18" customHeight="1" x14ac:dyDescent="0.25">
      <c r="B863" s="40">
        <f>SUBTOTAL(3,C$4:C863)</f>
        <v>828</v>
      </c>
      <c r="C863" s="41">
        <v>24322495</v>
      </c>
      <c r="D863" s="41" t="s">
        <v>937</v>
      </c>
      <c r="E863" s="41" t="s">
        <v>30</v>
      </c>
      <c r="F863" s="41" t="s">
        <v>30</v>
      </c>
      <c r="G863" s="41" t="s">
        <v>26</v>
      </c>
      <c r="H863" s="42"/>
    </row>
    <row r="864" spans="2:8" ht="18" customHeight="1" x14ac:dyDescent="0.25">
      <c r="B864" s="40">
        <f>SUBTOTAL(3,C$4:C864)</f>
        <v>829</v>
      </c>
      <c r="C864" s="41">
        <v>24027753</v>
      </c>
      <c r="D864" s="41" t="s">
        <v>938</v>
      </c>
      <c r="E864" s="41" t="s">
        <v>30</v>
      </c>
      <c r="F864" s="41" t="s">
        <v>30</v>
      </c>
      <c r="G864" s="41" t="s">
        <v>26</v>
      </c>
      <c r="H864" s="42"/>
    </row>
    <row r="865" spans="2:8" ht="18" customHeight="1" x14ac:dyDescent="0.25">
      <c r="B865" s="40">
        <f>SUBTOTAL(3,C$4:C865)</f>
        <v>830</v>
      </c>
      <c r="C865" s="41">
        <v>24215499</v>
      </c>
      <c r="D865" s="41" t="s">
        <v>939</v>
      </c>
      <c r="E865" s="41" t="s">
        <v>30</v>
      </c>
      <c r="F865" s="41" t="s">
        <v>30</v>
      </c>
      <c r="G865" s="41" t="s">
        <v>26</v>
      </c>
      <c r="H865" s="42"/>
    </row>
    <row r="866" spans="2:8" ht="18" customHeight="1" x14ac:dyDescent="0.25">
      <c r="B866" s="40">
        <f>SUBTOTAL(3,C$4:C866)</f>
        <v>831</v>
      </c>
      <c r="C866" s="41">
        <v>24024485</v>
      </c>
      <c r="D866" s="41" t="s">
        <v>940</v>
      </c>
      <c r="E866" s="41" t="s">
        <v>30</v>
      </c>
      <c r="F866" s="41" t="s">
        <v>30</v>
      </c>
      <c r="G866" s="41" t="s">
        <v>26</v>
      </c>
      <c r="H866" s="42"/>
    </row>
    <row r="867" spans="2:8" ht="18" customHeight="1" x14ac:dyDescent="0.25">
      <c r="B867" s="40">
        <f>SUBTOTAL(3,C$4:C867)</f>
        <v>832</v>
      </c>
      <c r="C867" s="41">
        <v>24024762</v>
      </c>
      <c r="D867" s="41" t="s">
        <v>941</v>
      </c>
      <c r="E867" s="41" t="s">
        <v>30</v>
      </c>
      <c r="F867" s="41" t="s">
        <v>30</v>
      </c>
      <c r="G867" s="41" t="s">
        <v>26</v>
      </c>
      <c r="H867" s="42"/>
    </row>
    <row r="868" spans="2:8" ht="18" customHeight="1" x14ac:dyDescent="0.25">
      <c r="B868" s="40">
        <f>SUBTOTAL(3,C$4:C868)</f>
        <v>833</v>
      </c>
      <c r="C868" s="41">
        <v>24029616</v>
      </c>
      <c r="D868" s="41" t="s">
        <v>942</v>
      </c>
      <c r="E868" s="41" t="s">
        <v>30</v>
      </c>
      <c r="F868" s="41" t="s">
        <v>30</v>
      </c>
      <c r="G868" s="41" t="s">
        <v>26</v>
      </c>
      <c r="H868" s="42"/>
    </row>
    <row r="869" spans="2:8" ht="18" customHeight="1" x14ac:dyDescent="0.25">
      <c r="B869" s="40">
        <f>SUBTOTAL(3,C$4:C869)</f>
        <v>834</v>
      </c>
      <c r="C869" s="41">
        <v>24021046</v>
      </c>
      <c r="D869" s="41" t="s">
        <v>943</v>
      </c>
      <c r="E869" s="41" t="s">
        <v>30</v>
      </c>
      <c r="F869" s="41" t="s">
        <v>30</v>
      </c>
      <c r="G869" s="41" t="s">
        <v>24</v>
      </c>
      <c r="H869" s="42"/>
    </row>
    <row r="870" spans="2:8" ht="18" customHeight="1" x14ac:dyDescent="0.25">
      <c r="B870" s="40">
        <f>SUBTOTAL(3,C$4:C870)</f>
        <v>835</v>
      </c>
      <c r="C870" s="41">
        <v>24022088</v>
      </c>
      <c r="D870" s="41" t="s">
        <v>944</v>
      </c>
      <c r="E870" s="41" t="s">
        <v>30</v>
      </c>
      <c r="F870" s="41" t="s">
        <v>30</v>
      </c>
      <c r="G870" s="41" t="s">
        <v>28</v>
      </c>
      <c r="H870" s="42"/>
    </row>
    <row r="871" spans="2:8" ht="18" customHeight="1" x14ac:dyDescent="0.25">
      <c r="B871" s="40">
        <f>SUBTOTAL(3,C$4:C871)</f>
        <v>836</v>
      </c>
      <c r="C871" s="41">
        <v>24025189</v>
      </c>
      <c r="D871" s="41" t="s">
        <v>945</v>
      </c>
      <c r="E871" s="41" t="s">
        <v>30</v>
      </c>
      <c r="F871" s="41" t="s">
        <v>30</v>
      </c>
      <c r="G871" s="41" t="s">
        <v>26</v>
      </c>
      <c r="H871" s="42"/>
    </row>
    <row r="872" spans="2:8" ht="18" customHeight="1" x14ac:dyDescent="0.25">
      <c r="B872" s="40">
        <f>SUBTOTAL(3,C$4:C872)</f>
        <v>837</v>
      </c>
      <c r="C872" s="41">
        <v>24019754</v>
      </c>
      <c r="D872" s="41" t="s">
        <v>946</v>
      </c>
      <c r="E872" s="41" t="s">
        <v>30</v>
      </c>
      <c r="F872" s="41" t="s">
        <v>30</v>
      </c>
      <c r="G872" s="41" t="s">
        <v>26</v>
      </c>
      <c r="H872" s="42"/>
    </row>
    <row r="873" spans="2:8" ht="18" customHeight="1" x14ac:dyDescent="0.25">
      <c r="B873" s="40">
        <f>SUBTOTAL(3,C$4:C873)</f>
        <v>838</v>
      </c>
      <c r="C873" s="41">
        <v>24215486</v>
      </c>
      <c r="D873" s="41" t="s">
        <v>947</v>
      </c>
      <c r="E873" s="41" t="s">
        <v>30</v>
      </c>
      <c r="F873" s="41" t="s">
        <v>30</v>
      </c>
      <c r="G873" s="41" t="s">
        <v>26</v>
      </c>
      <c r="H873" s="42"/>
    </row>
    <row r="874" spans="2:8" ht="18" customHeight="1" x14ac:dyDescent="0.25">
      <c r="B874" s="40">
        <f>SUBTOTAL(3,C$4:C874)</f>
        <v>839</v>
      </c>
      <c r="C874" s="41">
        <v>24020020</v>
      </c>
      <c r="D874" s="41" t="s">
        <v>948</v>
      </c>
      <c r="E874" s="41" t="s">
        <v>30</v>
      </c>
      <c r="F874" s="41" t="s">
        <v>30</v>
      </c>
      <c r="G874" s="41" t="s">
        <v>26</v>
      </c>
      <c r="H874" s="42"/>
    </row>
    <row r="875" spans="2:8" ht="18" customHeight="1" x14ac:dyDescent="0.25">
      <c r="B875" s="40">
        <f>SUBTOTAL(3,C$4:C875)</f>
        <v>840</v>
      </c>
      <c r="C875" s="41">
        <v>24120722</v>
      </c>
      <c r="D875" s="41" t="s">
        <v>949</v>
      </c>
      <c r="E875" s="41" t="s">
        <v>30</v>
      </c>
      <c r="F875" s="41" t="s">
        <v>30</v>
      </c>
      <c r="G875" s="41" t="s">
        <v>26</v>
      </c>
      <c r="H875" s="42"/>
    </row>
    <row r="876" spans="2:8" ht="18" customHeight="1" x14ac:dyDescent="0.25">
      <c r="B876" s="40">
        <f>SUBTOTAL(3,C$4:C876)</f>
        <v>841</v>
      </c>
      <c r="C876" s="41">
        <v>24032396</v>
      </c>
      <c r="D876" s="41" t="s">
        <v>950</v>
      </c>
      <c r="E876" s="41" t="s">
        <v>30</v>
      </c>
      <c r="F876" s="41" t="s">
        <v>30</v>
      </c>
      <c r="G876" s="41" t="s">
        <v>26</v>
      </c>
      <c r="H876" s="42"/>
    </row>
    <row r="877" spans="2:8" ht="18" customHeight="1" x14ac:dyDescent="0.25">
      <c r="B877" s="40">
        <f>SUBTOTAL(3,C$4:C877)</f>
        <v>842</v>
      </c>
      <c r="C877" s="41">
        <v>24019736</v>
      </c>
      <c r="D877" s="41" t="s">
        <v>951</v>
      </c>
      <c r="E877" s="41" t="s">
        <v>30</v>
      </c>
      <c r="F877" s="41" t="s">
        <v>30</v>
      </c>
      <c r="G877" s="41" t="s">
        <v>26</v>
      </c>
      <c r="H877" s="42"/>
    </row>
    <row r="878" spans="2:8" ht="18" customHeight="1" x14ac:dyDescent="0.25">
      <c r="B878" s="40">
        <f>SUBTOTAL(3,C$4:C878)</f>
        <v>843</v>
      </c>
      <c r="C878" s="41">
        <v>24031781</v>
      </c>
      <c r="D878" s="41" t="s">
        <v>952</v>
      </c>
      <c r="E878" s="41" t="s">
        <v>30</v>
      </c>
      <c r="F878" s="41" t="s">
        <v>30</v>
      </c>
      <c r="G878" s="41" t="s">
        <v>26</v>
      </c>
      <c r="H878" s="42"/>
    </row>
    <row r="879" spans="2:8" ht="18" customHeight="1" x14ac:dyDescent="0.25">
      <c r="B879" s="40">
        <f>SUBTOTAL(3,C$4:C879)</f>
        <v>844</v>
      </c>
      <c r="C879" s="41">
        <v>24039282</v>
      </c>
      <c r="D879" s="41" t="s">
        <v>953</v>
      </c>
      <c r="E879" s="41" t="s">
        <v>30</v>
      </c>
      <c r="F879" s="41" t="s">
        <v>30</v>
      </c>
      <c r="G879" s="41" t="s">
        <v>26</v>
      </c>
      <c r="H879" s="42"/>
    </row>
    <row r="880" spans="2:8" ht="18" customHeight="1" x14ac:dyDescent="0.25">
      <c r="B880" s="40">
        <f>SUBTOTAL(3,C$4:C880)</f>
        <v>845</v>
      </c>
      <c r="C880" s="41">
        <v>24027904</v>
      </c>
      <c r="D880" s="41" t="s">
        <v>954</v>
      </c>
      <c r="E880" s="41" t="s">
        <v>30</v>
      </c>
      <c r="F880" s="41" t="s">
        <v>30</v>
      </c>
      <c r="G880" s="41" t="s">
        <v>26</v>
      </c>
      <c r="H880" s="42"/>
    </row>
    <row r="881" spans="2:8" ht="18" customHeight="1" x14ac:dyDescent="0.25">
      <c r="B881" s="40">
        <f>SUBTOTAL(3,C$4:C881)</f>
        <v>846</v>
      </c>
      <c r="C881" s="41">
        <v>24251081</v>
      </c>
      <c r="D881" s="41" t="s">
        <v>955</v>
      </c>
      <c r="E881" s="41" t="s">
        <v>30</v>
      </c>
      <c r="F881" s="41" t="s">
        <v>30</v>
      </c>
      <c r="G881" s="41" t="s">
        <v>26</v>
      </c>
      <c r="H881" s="42"/>
    </row>
    <row r="882" spans="2:8" ht="18" customHeight="1" x14ac:dyDescent="0.25">
      <c r="B882" s="40">
        <f>SUBTOTAL(3,C$4:C882)</f>
        <v>847</v>
      </c>
      <c r="C882" s="41">
        <v>24256927</v>
      </c>
      <c r="D882" s="41" t="s">
        <v>957</v>
      </c>
      <c r="E882" s="41" t="s">
        <v>30</v>
      </c>
      <c r="F882" s="41" t="s">
        <v>30</v>
      </c>
      <c r="G882" s="41" t="s">
        <v>26</v>
      </c>
      <c r="H882" s="42"/>
    </row>
    <row r="883" spans="2:8" ht="18" customHeight="1" x14ac:dyDescent="0.25">
      <c r="B883" s="40">
        <f>SUBTOTAL(3,C$4:C883)</f>
        <v>848</v>
      </c>
      <c r="C883" s="41">
        <v>24022885</v>
      </c>
      <c r="D883" s="41" t="s">
        <v>956</v>
      </c>
      <c r="E883" s="41" t="s">
        <v>30</v>
      </c>
      <c r="F883" s="41" t="s">
        <v>30</v>
      </c>
      <c r="G883" s="41" t="s">
        <v>26</v>
      </c>
      <c r="H883" s="42"/>
    </row>
    <row r="884" spans="2:8" ht="18" customHeight="1" x14ac:dyDescent="0.25">
      <c r="B884" s="40">
        <f>SUBTOTAL(3,C$4:C884)</f>
        <v>849</v>
      </c>
      <c r="C884" s="41">
        <v>24032943</v>
      </c>
      <c r="D884" s="41" t="s">
        <v>958</v>
      </c>
      <c r="E884" s="41" t="s">
        <v>30</v>
      </c>
      <c r="F884" s="41" t="s">
        <v>30</v>
      </c>
      <c r="G884" s="41" t="s">
        <v>24</v>
      </c>
      <c r="H884" s="42"/>
    </row>
    <row r="885" spans="2:8" ht="18" customHeight="1" x14ac:dyDescent="0.25">
      <c r="B885" s="40">
        <f>SUBTOTAL(3,C$4:C885)</f>
        <v>850</v>
      </c>
      <c r="C885" s="41">
        <v>24026372</v>
      </c>
      <c r="D885" s="41" t="s">
        <v>959</v>
      </c>
      <c r="E885" s="41" t="s">
        <v>30</v>
      </c>
      <c r="F885" s="41" t="s">
        <v>30</v>
      </c>
      <c r="G885" s="41" t="s">
        <v>26</v>
      </c>
      <c r="H885" s="42"/>
    </row>
    <row r="886" spans="2:8" ht="18" customHeight="1" x14ac:dyDescent="0.25">
      <c r="B886" s="40">
        <f>SUBTOTAL(3,C$4:C886)</f>
        <v>851</v>
      </c>
      <c r="C886" s="41">
        <v>24022696</v>
      </c>
      <c r="D886" s="41" t="s">
        <v>960</v>
      </c>
      <c r="E886" s="41" t="s">
        <v>30</v>
      </c>
      <c r="F886" s="41" t="s">
        <v>30</v>
      </c>
      <c r="G886" s="41" t="s">
        <v>26</v>
      </c>
      <c r="H886" s="42"/>
    </row>
    <row r="887" spans="2:8" ht="18" customHeight="1" x14ac:dyDescent="0.25">
      <c r="B887" s="40">
        <f>SUBTOTAL(3,C$4:C887)</f>
        <v>852</v>
      </c>
      <c r="C887" s="41">
        <v>24029908</v>
      </c>
      <c r="D887" s="41" t="s">
        <v>961</v>
      </c>
      <c r="E887" s="41" t="s">
        <v>30</v>
      </c>
      <c r="F887" s="41" t="s">
        <v>30</v>
      </c>
      <c r="G887" s="41" t="s">
        <v>26</v>
      </c>
      <c r="H887" s="42"/>
    </row>
    <row r="888" spans="2:8" ht="18" customHeight="1" x14ac:dyDescent="0.25">
      <c r="B888" s="40">
        <f>SUBTOTAL(3,C$4:C888)</f>
        <v>853</v>
      </c>
      <c r="C888" s="41">
        <v>24024542</v>
      </c>
      <c r="D888" s="41" t="s">
        <v>962</v>
      </c>
      <c r="E888" s="41" t="s">
        <v>30</v>
      </c>
      <c r="F888" s="41" t="s">
        <v>30</v>
      </c>
      <c r="G888" s="41" t="s">
        <v>26</v>
      </c>
      <c r="H888" s="42"/>
    </row>
    <row r="889" spans="2:8" ht="18" hidden="1" customHeight="1" x14ac:dyDescent="0.25">
      <c r="B889" s="40">
        <f>SUBTOTAL(3,C$4:C889)</f>
        <v>853</v>
      </c>
      <c r="C889" s="41">
        <v>24119895</v>
      </c>
      <c r="D889" s="41" t="s">
        <v>963</v>
      </c>
      <c r="E889" s="41" t="s">
        <v>30</v>
      </c>
      <c r="F889" s="41" t="s">
        <v>30</v>
      </c>
      <c r="G889" s="41" t="s">
        <v>27</v>
      </c>
      <c r="H889" s="42"/>
    </row>
    <row r="890" spans="2:8" ht="18" customHeight="1" x14ac:dyDescent="0.25">
      <c r="B890" s="40">
        <f>SUBTOTAL(3,C$4:C890)</f>
        <v>854</v>
      </c>
      <c r="C890" s="41">
        <v>24027091</v>
      </c>
      <c r="D890" s="41" t="s">
        <v>964</v>
      </c>
      <c r="E890" s="41" t="s">
        <v>30</v>
      </c>
      <c r="F890" s="41" t="s">
        <v>30</v>
      </c>
      <c r="G890" s="41" t="s">
        <v>26</v>
      </c>
      <c r="H890" s="42"/>
    </row>
    <row r="891" spans="2:8" ht="18" customHeight="1" x14ac:dyDescent="0.25">
      <c r="B891" s="40">
        <f>SUBTOTAL(3,C$4:C891)</f>
        <v>855</v>
      </c>
      <c r="C891" s="41">
        <v>24032318</v>
      </c>
      <c r="D891" s="41" t="s">
        <v>966</v>
      </c>
      <c r="E891" s="41" t="s">
        <v>30</v>
      </c>
      <c r="F891" s="41" t="s">
        <v>30</v>
      </c>
      <c r="G891" s="41" t="s">
        <v>26</v>
      </c>
      <c r="H891" s="42"/>
    </row>
    <row r="892" spans="2:8" ht="18" customHeight="1" x14ac:dyDescent="0.25">
      <c r="B892" s="40">
        <f>SUBTOTAL(3,C$4:C892)</f>
        <v>856</v>
      </c>
      <c r="C892" s="41">
        <v>24023756</v>
      </c>
      <c r="D892" s="41" t="s">
        <v>965</v>
      </c>
      <c r="E892" s="41" t="s">
        <v>30</v>
      </c>
      <c r="F892" s="41" t="s">
        <v>30</v>
      </c>
      <c r="G892" s="41" t="s">
        <v>26</v>
      </c>
      <c r="H892" s="42"/>
    </row>
    <row r="893" spans="2:8" ht="18" customHeight="1" x14ac:dyDescent="0.25">
      <c r="B893" s="40">
        <f>SUBTOTAL(3,C$4:C893)</f>
        <v>857</v>
      </c>
      <c r="C893" s="41">
        <v>24022853</v>
      </c>
      <c r="D893" s="41" t="s">
        <v>967</v>
      </c>
      <c r="E893" s="41" t="s">
        <v>30</v>
      </c>
      <c r="F893" s="41" t="s">
        <v>30</v>
      </c>
      <c r="G893" s="41" t="s">
        <v>26</v>
      </c>
      <c r="H893" s="42"/>
    </row>
    <row r="894" spans="2:8" ht="18" customHeight="1" x14ac:dyDescent="0.25">
      <c r="B894" s="40">
        <f>SUBTOTAL(3,C$4:C894)</f>
        <v>858</v>
      </c>
      <c r="C894" s="41">
        <v>24027192</v>
      </c>
      <c r="D894" s="41" t="s">
        <v>968</v>
      </c>
      <c r="E894" s="41" t="s">
        <v>30</v>
      </c>
      <c r="F894" s="41" t="s">
        <v>30</v>
      </c>
      <c r="G894" s="41" t="s">
        <v>28</v>
      </c>
      <c r="H894" s="42"/>
    </row>
    <row r="895" spans="2:8" ht="18" customHeight="1" x14ac:dyDescent="0.25">
      <c r="B895" s="40">
        <f>SUBTOTAL(3,C$4:C895)</f>
        <v>859</v>
      </c>
      <c r="C895" s="41">
        <v>24025269</v>
      </c>
      <c r="D895" s="41" t="s">
        <v>969</v>
      </c>
      <c r="E895" s="41" t="s">
        <v>30</v>
      </c>
      <c r="F895" s="41" t="s">
        <v>30</v>
      </c>
      <c r="G895" s="41" t="s">
        <v>26</v>
      </c>
      <c r="H895" s="42"/>
    </row>
    <row r="896" spans="2:8" ht="18" customHeight="1" x14ac:dyDescent="0.25">
      <c r="B896" s="40">
        <f>SUBTOTAL(3,C$4:C896)</f>
        <v>860</v>
      </c>
      <c r="C896" s="41">
        <v>24022926</v>
      </c>
      <c r="D896" s="41" t="s">
        <v>970</v>
      </c>
      <c r="E896" s="41" t="s">
        <v>30</v>
      </c>
      <c r="F896" s="41" t="s">
        <v>30</v>
      </c>
      <c r="G896" s="41" t="s">
        <v>26</v>
      </c>
      <c r="H896" s="42"/>
    </row>
    <row r="897" spans="2:8" ht="18" customHeight="1" x14ac:dyDescent="0.25">
      <c r="B897" s="40">
        <f>SUBTOTAL(3,C$4:C897)</f>
        <v>861</v>
      </c>
      <c r="C897" s="41">
        <v>24036395</v>
      </c>
      <c r="D897" s="41" t="s">
        <v>971</v>
      </c>
      <c r="E897" s="41" t="s">
        <v>30</v>
      </c>
      <c r="F897" s="41" t="s">
        <v>30</v>
      </c>
      <c r="G897" s="41" t="s">
        <v>26</v>
      </c>
      <c r="H897" s="42"/>
    </row>
    <row r="898" spans="2:8" ht="18" customHeight="1" x14ac:dyDescent="0.25">
      <c r="B898" s="40">
        <f>SUBTOTAL(3,C$4:C898)</f>
        <v>862</v>
      </c>
      <c r="C898" s="41">
        <v>24231163</v>
      </c>
      <c r="D898" s="41" t="s">
        <v>972</v>
      </c>
      <c r="E898" s="41" t="s">
        <v>30</v>
      </c>
      <c r="F898" s="41" t="s">
        <v>30</v>
      </c>
      <c r="G898" s="41" t="s">
        <v>26</v>
      </c>
      <c r="H898" s="42"/>
    </row>
    <row r="899" spans="2:8" ht="18" customHeight="1" x14ac:dyDescent="0.25">
      <c r="B899" s="40">
        <f>SUBTOTAL(3,C$4:C899)</f>
        <v>863</v>
      </c>
      <c r="C899" s="41">
        <v>24267907</v>
      </c>
      <c r="D899" s="41" t="s">
        <v>973</v>
      </c>
      <c r="E899" s="41" t="s">
        <v>30</v>
      </c>
      <c r="F899" s="41" t="s">
        <v>30</v>
      </c>
      <c r="G899" s="41" t="s">
        <v>26</v>
      </c>
      <c r="H899" s="42"/>
    </row>
    <row r="900" spans="2:8" ht="18" customHeight="1" x14ac:dyDescent="0.25">
      <c r="B900" s="40">
        <f>SUBTOTAL(3,C$4:C900)</f>
        <v>864</v>
      </c>
      <c r="C900" s="41">
        <v>24039957</v>
      </c>
      <c r="D900" s="41" t="s">
        <v>974</v>
      </c>
      <c r="E900" s="41" t="s">
        <v>30</v>
      </c>
      <c r="F900" s="41" t="s">
        <v>30</v>
      </c>
      <c r="G900" s="41" t="s">
        <v>26</v>
      </c>
      <c r="H900" s="42"/>
    </row>
    <row r="901" spans="2:8" ht="18" customHeight="1" x14ac:dyDescent="0.25">
      <c r="B901" s="40">
        <f>SUBTOTAL(3,C$4:C901)</f>
        <v>865</v>
      </c>
      <c r="C901" s="41">
        <v>24317055</v>
      </c>
      <c r="D901" s="41" t="s">
        <v>975</v>
      </c>
      <c r="E901" s="41" t="s">
        <v>30</v>
      </c>
      <c r="F901" s="41" t="s">
        <v>30</v>
      </c>
      <c r="G901" s="41" t="s">
        <v>26</v>
      </c>
      <c r="H901" s="42"/>
    </row>
    <row r="902" spans="2:8" ht="18" customHeight="1" x14ac:dyDescent="0.25">
      <c r="B902" s="40">
        <f>SUBTOTAL(3,C$4:C902)</f>
        <v>866</v>
      </c>
      <c r="C902" s="41">
        <v>24038804</v>
      </c>
      <c r="D902" s="41" t="s">
        <v>976</v>
      </c>
      <c r="E902" s="41" t="s">
        <v>30</v>
      </c>
      <c r="F902" s="41" t="s">
        <v>30</v>
      </c>
      <c r="G902" s="41" t="s">
        <v>26</v>
      </c>
      <c r="H902" s="42"/>
    </row>
    <row r="903" spans="2:8" ht="18" customHeight="1" x14ac:dyDescent="0.25">
      <c r="B903" s="40">
        <f>SUBTOTAL(3,C$4:C903)</f>
        <v>867</v>
      </c>
      <c r="C903" s="41">
        <v>24031253</v>
      </c>
      <c r="D903" s="41" t="s">
        <v>977</v>
      </c>
      <c r="E903" s="41" t="s">
        <v>30</v>
      </c>
      <c r="F903" s="41" t="s">
        <v>30</v>
      </c>
      <c r="G903" s="41" t="s">
        <v>26</v>
      </c>
      <c r="H903" s="42"/>
    </row>
    <row r="904" spans="2:8" ht="18" customHeight="1" x14ac:dyDescent="0.25">
      <c r="B904" s="40">
        <f>SUBTOTAL(3,C$4:C904)</f>
        <v>868</v>
      </c>
      <c r="C904" s="41">
        <v>24023408</v>
      </c>
      <c r="D904" s="41" t="s">
        <v>978</v>
      </c>
      <c r="E904" s="41" t="s">
        <v>30</v>
      </c>
      <c r="F904" s="41" t="s">
        <v>30</v>
      </c>
      <c r="G904" s="41" t="s">
        <v>26</v>
      </c>
      <c r="H904" s="42"/>
    </row>
    <row r="905" spans="2:8" ht="18" customHeight="1" x14ac:dyDescent="0.25">
      <c r="B905" s="40">
        <f>SUBTOTAL(3,C$4:C905)</f>
        <v>869</v>
      </c>
      <c r="C905" s="41">
        <v>24268004</v>
      </c>
      <c r="D905" s="41" t="s">
        <v>979</v>
      </c>
      <c r="E905" s="41" t="s">
        <v>30</v>
      </c>
      <c r="F905" s="41" t="s">
        <v>30</v>
      </c>
      <c r="G905" s="41" t="s">
        <v>28</v>
      </c>
      <c r="H905" s="42"/>
    </row>
    <row r="906" spans="2:8" ht="18" customHeight="1" x14ac:dyDescent="0.25">
      <c r="B906" s="40">
        <f>SUBTOTAL(3,C$4:C906)</f>
        <v>870</v>
      </c>
      <c r="C906" s="41">
        <v>24031265</v>
      </c>
      <c r="D906" s="41" t="s">
        <v>980</v>
      </c>
      <c r="E906" s="41" t="s">
        <v>30</v>
      </c>
      <c r="F906" s="41" t="s">
        <v>30</v>
      </c>
      <c r="G906" s="41" t="s">
        <v>26</v>
      </c>
      <c r="H906" s="42"/>
    </row>
    <row r="907" spans="2:8" ht="18" customHeight="1" x14ac:dyDescent="0.25">
      <c r="B907" s="40">
        <f>SUBTOTAL(3,C$4:C907)</f>
        <v>871</v>
      </c>
      <c r="C907" s="41">
        <v>24021453</v>
      </c>
      <c r="D907" s="41" t="s">
        <v>981</v>
      </c>
      <c r="E907" s="41" t="s">
        <v>30</v>
      </c>
      <c r="F907" s="41" t="s">
        <v>30</v>
      </c>
      <c r="G907" s="41" t="s">
        <v>26</v>
      </c>
      <c r="H907" s="42"/>
    </row>
    <row r="908" spans="2:8" ht="18" customHeight="1" x14ac:dyDescent="0.25">
      <c r="B908" s="40">
        <f>SUBTOTAL(3,C$4:C908)</f>
        <v>872</v>
      </c>
      <c r="C908" s="41">
        <v>24030438</v>
      </c>
      <c r="D908" s="41" t="s">
        <v>982</v>
      </c>
      <c r="E908" s="41" t="s">
        <v>30</v>
      </c>
      <c r="F908" s="41" t="s">
        <v>30</v>
      </c>
      <c r="G908" s="41" t="s">
        <v>26</v>
      </c>
      <c r="H908" s="42"/>
    </row>
    <row r="909" spans="2:8" ht="18" customHeight="1" x14ac:dyDescent="0.25">
      <c r="B909" s="40">
        <f>SUBTOTAL(3,C$4:C909)</f>
        <v>873</v>
      </c>
      <c r="C909" s="41">
        <v>24025908</v>
      </c>
      <c r="D909" s="41" t="s">
        <v>983</v>
      </c>
      <c r="E909" s="41" t="s">
        <v>30</v>
      </c>
      <c r="F909" s="41" t="s">
        <v>30</v>
      </c>
      <c r="G909" s="41" t="s">
        <v>26</v>
      </c>
      <c r="H909" s="42"/>
    </row>
    <row r="910" spans="2:8" ht="18" customHeight="1" x14ac:dyDescent="0.25">
      <c r="B910" s="40">
        <f>SUBTOTAL(3,C$4:C910)</f>
        <v>874</v>
      </c>
      <c r="C910" s="41">
        <v>24026309</v>
      </c>
      <c r="D910" s="41" t="s">
        <v>984</v>
      </c>
      <c r="E910" s="41" t="s">
        <v>30</v>
      </c>
      <c r="F910" s="41" t="s">
        <v>30</v>
      </c>
      <c r="G910" s="41" t="s">
        <v>24</v>
      </c>
      <c r="H910" s="42"/>
    </row>
    <row r="911" spans="2:8" ht="18" customHeight="1" x14ac:dyDescent="0.25">
      <c r="B911" s="40">
        <f>SUBTOTAL(3,C$4:C911)</f>
        <v>875</v>
      </c>
      <c r="C911" s="41">
        <v>24021347</v>
      </c>
      <c r="D911" s="41" t="s">
        <v>985</v>
      </c>
      <c r="E911" s="41" t="s">
        <v>30</v>
      </c>
      <c r="F911" s="41" t="s">
        <v>30</v>
      </c>
      <c r="G911" s="41" t="s">
        <v>26</v>
      </c>
      <c r="H911" s="42"/>
    </row>
    <row r="912" spans="2:8" ht="18" customHeight="1" x14ac:dyDescent="0.25">
      <c r="B912" s="40">
        <f>SUBTOTAL(3,C$4:C912)</f>
        <v>876</v>
      </c>
      <c r="C912" s="41">
        <v>24023980</v>
      </c>
      <c r="D912" s="41" t="s">
        <v>986</v>
      </c>
      <c r="E912" s="41" t="s">
        <v>30</v>
      </c>
      <c r="F912" s="41" t="s">
        <v>30</v>
      </c>
      <c r="G912" s="41" t="s">
        <v>26</v>
      </c>
      <c r="H912" s="42"/>
    </row>
    <row r="913" spans="2:8" ht="18" customHeight="1" x14ac:dyDescent="0.25">
      <c r="B913" s="40">
        <f>SUBTOTAL(3,C$4:C913)</f>
        <v>877</v>
      </c>
      <c r="C913" s="41">
        <v>24022177</v>
      </c>
      <c r="D913" s="41" t="s">
        <v>987</v>
      </c>
      <c r="E913" s="41" t="s">
        <v>30</v>
      </c>
      <c r="F913" s="41" t="s">
        <v>30</v>
      </c>
      <c r="G913" s="41" t="s">
        <v>28</v>
      </c>
      <c r="H913" s="42"/>
    </row>
    <row r="914" spans="2:8" ht="18" customHeight="1" x14ac:dyDescent="0.25">
      <c r="B914" s="40">
        <f>SUBTOTAL(3,C$4:C914)</f>
        <v>878</v>
      </c>
      <c r="C914" s="41">
        <v>24025934</v>
      </c>
      <c r="D914" s="41" t="s">
        <v>988</v>
      </c>
      <c r="E914" s="41" t="s">
        <v>30</v>
      </c>
      <c r="F914" s="41" t="s">
        <v>30</v>
      </c>
      <c r="G914" s="41" t="s">
        <v>26</v>
      </c>
      <c r="H914" s="42"/>
    </row>
    <row r="915" spans="2:8" ht="18" customHeight="1" x14ac:dyDescent="0.25">
      <c r="B915" s="40">
        <f>SUBTOTAL(3,C$4:C915)</f>
        <v>879</v>
      </c>
      <c r="C915" s="41">
        <v>24255883</v>
      </c>
      <c r="D915" s="41" t="s">
        <v>989</v>
      </c>
      <c r="E915" s="41" t="s">
        <v>30</v>
      </c>
      <c r="F915" s="41" t="s">
        <v>30</v>
      </c>
      <c r="G915" s="41" t="s">
        <v>26</v>
      </c>
      <c r="H915" s="42"/>
    </row>
    <row r="916" spans="2:8" ht="18" customHeight="1" x14ac:dyDescent="0.25">
      <c r="B916" s="40">
        <f>SUBTOTAL(3,C$4:C916)</f>
        <v>880</v>
      </c>
      <c r="C916" s="41">
        <v>24036363</v>
      </c>
      <c r="D916" s="41" t="s">
        <v>990</v>
      </c>
      <c r="E916" s="41" t="s">
        <v>30</v>
      </c>
      <c r="F916" s="41" t="s">
        <v>30</v>
      </c>
      <c r="G916" s="41" t="s">
        <v>28</v>
      </c>
      <c r="H916" s="42"/>
    </row>
    <row r="917" spans="2:8" ht="18" customHeight="1" x14ac:dyDescent="0.25">
      <c r="B917" s="40">
        <f>SUBTOTAL(3,C$4:C917)</f>
        <v>881</v>
      </c>
      <c r="C917" s="41">
        <v>24028971</v>
      </c>
      <c r="D917" s="41" t="s">
        <v>991</v>
      </c>
      <c r="E917" s="41" t="s">
        <v>30</v>
      </c>
      <c r="F917" s="41" t="s">
        <v>30</v>
      </c>
      <c r="G917" s="41" t="s">
        <v>26</v>
      </c>
      <c r="H917" s="42"/>
    </row>
    <row r="918" spans="2:8" ht="18" customHeight="1" x14ac:dyDescent="0.25">
      <c r="B918" s="40">
        <f>SUBTOTAL(3,C$4:C918)</f>
        <v>882</v>
      </c>
      <c r="C918" s="41">
        <v>24262345</v>
      </c>
      <c r="D918" s="41" t="s">
        <v>992</v>
      </c>
      <c r="E918" s="41" t="s">
        <v>30</v>
      </c>
      <c r="F918" s="41" t="s">
        <v>30</v>
      </c>
      <c r="G918" s="41" t="s">
        <v>26</v>
      </c>
      <c r="H918" s="42"/>
    </row>
    <row r="919" spans="2:8" ht="18" customHeight="1" x14ac:dyDescent="0.25">
      <c r="B919" s="40">
        <f>SUBTOTAL(3,C$4:C919)</f>
        <v>883</v>
      </c>
      <c r="C919" s="41">
        <v>24024812</v>
      </c>
      <c r="D919" s="41" t="s">
        <v>994</v>
      </c>
      <c r="E919" s="41" t="s">
        <v>30</v>
      </c>
      <c r="F919" s="41" t="s">
        <v>30</v>
      </c>
      <c r="G919" s="41" t="s">
        <v>26</v>
      </c>
      <c r="H919" s="42"/>
    </row>
    <row r="920" spans="2:8" ht="18" customHeight="1" x14ac:dyDescent="0.25">
      <c r="B920" s="40">
        <f>SUBTOTAL(3,C$4:C920)</f>
        <v>884</v>
      </c>
      <c r="C920" s="41">
        <v>24231147</v>
      </c>
      <c r="D920" s="41" t="s">
        <v>993</v>
      </c>
      <c r="E920" s="41" t="s">
        <v>30</v>
      </c>
      <c r="F920" s="41" t="s">
        <v>30</v>
      </c>
      <c r="G920" s="41" t="s">
        <v>26</v>
      </c>
      <c r="H920" s="42"/>
    </row>
    <row r="921" spans="2:8" ht="18" customHeight="1" x14ac:dyDescent="0.25">
      <c r="B921" s="40">
        <f>SUBTOTAL(3,C$4:C921)</f>
        <v>885</v>
      </c>
      <c r="C921" s="41">
        <v>24215621</v>
      </c>
      <c r="D921" s="41" t="s">
        <v>995</v>
      </c>
      <c r="E921" s="41" t="s">
        <v>30</v>
      </c>
      <c r="F921" s="41" t="s">
        <v>30</v>
      </c>
      <c r="G921" s="41" t="s">
        <v>26</v>
      </c>
      <c r="H921" s="42"/>
    </row>
    <row r="922" spans="2:8" ht="18" customHeight="1" x14ac:dyDescent="0.25">
      <c r="B922" s="40">
        <f>SUBTOTAL(3,C$4:C922)</f>
        <v>886</v>
      </c>
      <c r="C922" s="41">
        <v>24032419</v>
      </c>
      <c r="D922" s="41" t="s">
        <v>996</v>
      </c>
      <c r="E922" s="41" t="s">
        <v>30</v>
      </c>
      <c r="F922" s="41" t="s">
        <v>30</v>
      </c>
      <c r="G922" s="41" t="s">
        <v>26</v>
      </c>
      <c r="H922" s="42"/>
    </row>
    <row r="923" spans="2:8" ht="18" customHeight="1" x14ac:dyDescent="0.25">
      <c r="B923" s="40">
        <f>SUBTOTAL(3,C$4:C923)</f>
        <v>887</v>
      </c>
      <c r="C923" s="41">
        <v>24027840</v>
      </c>
      <c r="D923" s="41" t="s">
        <v>997</v>
      </c>
      <c r="E923" s="41" t="s">
        <v>30</v>
      </c>
      <c r="F923" s="41" t="s">
        <v>30</v>
      </c>
      <c r="G923" s="41" t="s">
        <v>26</v>
      </c>
      <c r="H923" s="42"/>
    </row>
    <row r="924" spans="2:8" ht="18" customHeight="1" x14ac:dyDescent="0.25">
      <c r="B924" s="40">
        <f>SUBTOTAL(3,C$4:C924)</f>
        <v>888</v>
      </c>
      <c r="C924" s="41">
        <v>24022879</v>
      </c>
      <c r="D924" s="41" t="s">
        <v>998</v>
      </c>
      <c r="E924" s="41" t="s">
        <v>30</v>
      </c>
      <c r="F924" s="41" t="s">
        <v>30</v>
      </c>
      <c r="G924" s="41" t="s">
        <v>28</v>
      </c>
      <c r="H924" s="42"/>
    </row>
    <row r="925" spans="2:8" ht="18" customHeight="1" x14ac:dyDescent="0.25">
      <c r="B925" s="40">
        <f>SUBTOTAL(3,C$4:C925)</f>
        <v>889</v>
      </c>
      <c r="C925" s="41">
        <v>24250480</v>
      </c>
      <c r="D925" s="41" t="s">
        <v>999</v>
      </c>
      <c r="E925" s="41" t="s">
        <v>30</v>
      </c>
      <c r="F925" s="41" t="s">
        <v>30</v>
      </c>
      <c r="G925" s="41" t="s">
        <v>26</v>
      </c>
      <c r="H925" s="42"/>
    </row>
    <row r="926" spans="2:8" ht="18" customHeight="1" x14ac:dyDescent="0.25">
      <c r="B926" s="40">
        <f>SUBTOTAL(3,C$4:C926)</f>
        <v>890</v>
      </c>
      <c r="C926" s="41">
        <v>24237418</v>
      </c>
      <c r="D926" s="41" t="s">
        <v>1000</v>
      </c>
      <c r="E926" s="41" t="s">
        <v>30</v>
      </c>
      <c r="F926" s="41" t="s">
        <v>30</v>
      </c>
      <c r="G926" s="41" t="s">
        <v>28</v>
      </c>
      <c r="H926" s="42"/>
    </row>
    <row r="927" spans="2:8" ht="18" customHeight="1" x14ac:dyDescent="0.25">
      <c r="B927" s="40">
        <f>SUBTOTAL(3,C$4:C927)</f>
        <v>891</v>
      </c>
      <c r="C927" s="41">
        <v>24023997</v>
      </c>
      <c r="D927" s="41" t="s">
        <v>1001</v>
      </c>
      <c r="E927" s="41" t="s">
        <v>30</v>
      </c>
      <c r="F927" s="41" t="s">
        <v>30</v>
      </c>
      <c r="G927" s="41" t="s">
        <v>26</v>
      </c>
      <c r="H927" s="42"/>
    </row>
    <row r="928" spans="2:8" ht="18" customHeight="1" x14ac:dyDescent="0.25">
      <c r="B928" s="40">
        <f>SUBTOTAL(3,C$4:C928)</f>
        <v>892</v>
      </c>
      <c r="C928" s="41">
        <v>24122088</v>
      </c>
      <c r="D928" s="41" t="s">
        <v>1002</v>
      </c>
      <c r="E928" s="41" t="s">
        <v>30</v>
      </c>
      <c r="F928" s="41" t="s">
        <v>30</v>
      </c>
      <c r="G928" s="41" t="s">
        <v>26</v>
      </c>
      <c r="H928" s="42"/>
    </row>
    <row r="929" spans="2:8" ht="18" customHeight="1" x14ac:dyDescent="0.25">
      <c r="B929" s="40">
        <f>SUBTOTAL(3,C$4:C929)</f>
        <v>893</v>
      </c>
      <c r="C929" s="41">
        <v>24022899</v>
      </c>
      <c r="D929" s="41" t="s">
        <v>1003</v>
      </c>
      <c r="E929" s="41" t="s">
        <v>30</v>
      </c>
      <c r="F929" s="41" t="s">
        <v>30</v>
      </c>
      <c r="G929" s="41" t="s">
        <v>26</v>
      </c>
      <c r="H929" s="42"/>
    </row>
    <row r="930" spans="2:8" ht="18" customHeight="1" x14ac:dyDescent="0.25">
      <c r="B930" s="40">
        <f>SUBTOTAL(3,C$4:C930)</f>
        <v>894</v>
      </c>
      <c r="C930" s="41">
        <v>24034372</v>
      </c>
      <c r="D930" s="41" t="s">
        <v>1004</v>
      </c>
      <c r="E930" s="41" t="s">
        <v>30</v>
      </c>
      <c r="F930" s="41" t="s">
        <v>30</v>
      </c>
      <c r="G930" s="41" t="s">
        <v>26</v>
      </c>
      <c r="H930" s="42"/>
    </row>
    <row r="931" spans="2:8" ht="18" customHeight="1" x14ac:dyDescent="0.25">
      <c r="B931" s="40">
        <f>SUBTOTAL(3,C$4:C931)</f>
        <v>895</v>
      </c>
      <c r="C931" s="41">
        <v>24215886</v>
      </c>
      <c r="D931" s="41" t="s">
        <v>1005</v>
      </c>
      <c r="E931" s="41" t="s">
        <v>30</v>
      </c>
      <c r="F931" s="41" t="s">
        <v>30</v>
      </c>
      <c r="G931" s="41" t="s">
        <v>26</v>
      </c>
      <c r="H931" s="42"/>
    </row>
    <row r="932" spans="2:8" ht="18" customHeight="1" x14ac:dyDescent="0.25">
      <c r="B932" s="40">
        <f>SUBTOTAL(3,C$4:C932)</f>
        <v>896</v>
      </c>
      <c r="C932" s="41">
        <v>24040100</v>
      </c>
      <c r="D932" s="41" t="s">
        <v>1006</v>
      </c>
      <c r="E932" s="41" t="s">
        <v>30</v>
      </c>
      <c r="F932" s="41" t="s">
        <v>30</v>
      </c>
      <c r="G932" s="41" t="s">
        <v>26</v>
      </c>
      <c r="H932" s="42"/>
    </row>
    <row r="933" spans="2:8" ht="18" customHeight="1" x14ac:dyDescent="0.25">
      <c r="B933" s="40">
        <f>SUBTOTAL(3,C$4:C933)</f>
        <v>897</v>
      </c>
      <c r="C933" s="41">
        <v>24318322</v>
      </c>
      <c r="D933" s="41" t="s">
        <v>1007</v>
      </c>
      <c r="E933" s="41" t="s">
        <v>30</v>
      </c>
      <c r="F933" s="41" t="s">
        <v>30</v>
      </c>
      <c r="G933" s="41" t="s">
        <v>26</v>
      </c>
      <c r="H933" s="42"/>
    </row>
    <row r="934" spans="2:8" ht="18" customHeight="1" x14ac:dyDescent="0.25">
      <c r="B934" s="40">
        <f>SUBTOTAL(3,C$4:C934)</f>
        <v>898</v>
      </c>
      <c r="C934" s="41">
        <v>24023556</v>
      </c>
      <c r="D934" s="41" t="s">
        <v>1008</v>
      </c>
      <c r="E934" s="41" t="s">
        <v>30</v>
      </c>
      <c r="F934" s="41" t="s">
        <v>30</v>
      </c>
      <c r="G934" s="41" t="s">
        <v>26</v>
      </c>
      <c r="H934" s="42"/>
    </row>
    <row r="935" spans="2:8" ht="18" customHeight="1" x14ac:dyDescent="0.25">
      <c r="B935" s="40">
        <f>SUBTOTAL(3,C$4:C935)</f>
        <v>899</v>
      </c>
      <c r="C935" s="41">
        <v>24036802</v>
      </c>
      <c r="D935" s="41" t="s">
        <v>1009</v>
      </c>
      <c r="E935" s="41" t="s">
        <v>30</v>
      </c>
      <c r="F935" s="41" t="s">
        <v>30</v>
      </c>
      <c r="G935" s="41" t="s">
        <v>26</v>
      </c>
      <c r="H935" s="42"/>
    </row>
    <row r="936" spans="2:8" ht="18" customHeight="1" x14ac:dyDescent="0.25">
      <c r="B936" s="40">
        <f>SUBTOTAL(3,C$4:C936)</f>
        <v>900</v>
      </c>
      <c r="C936" s="41">
        <v>24034210</v>
      </c>
      <c r="D936" s="41" t="s">
        <v>1010</v>
      </c>
      <c r="E936" s="41" t="s">
        <v>30</v>
      </c>
      <c r="F936" s="41" t="s">
        <v>30</v>
      </c>
      <c r="G936" s="41" t="s">
        <v>26</v>
      </c>
      <c r="H936" s="42"/>
    </row>
    <row r="937" spans="2:8" ht="18" customHeight="1" x14ac:dyDescent="0.25">
      <c r="B937" s="40">
        <f>SUBTOTAL(3,C$4:C937)</f>
        <v>901</v>
      </c>
      <c r="C937" s="41">
        <v>24030954</v>
      </c>
      <c r="D937" s="41" t="s">
        <v>1011</v>
      </c>
      <c r="E937" s="41" t="s">
        <v>30</v>
      </c>
      <c r="F937" s="41" t="s">
        <v>30</v>
      </c>
      <c r="G937" s="41" t="s">
        <v>26</v>
      </c>
      <c r="H937" s="42"/>
    </row>
    <row r="938" spans="2:8" ht="18" customHeight="1" x14ac:dyDescent="0.25">
      <c r="B938" s="40">
        <f>SUBTOTAL(3,C$4:C938)</f>
        <v>902</v>
      </c>
      <c r="C938" s="41">
        <v>24024438</v>
      </c>
      <c r="D938" s="41" t="s">
        <v>1012</v>
      </c>
      <c r="E938" s="41" t="s">
        <v>30</v>
      </c>
      <c r="F938" s="41" t="s">
        <v>30</v>
      </c>
      <c r="G938" s="41" t="s">
        <v>26</v>
      </c>
      <c r="H938" s="42"/>
    </row>
    <row r="939" spans="2:8" ht="18" customHeight="1" x14ac:dyDescent="0.25">
      <c r="B939" s="40">
        <f>SUBTOTAL(3,C$4:C939)</f>
        <v>903</v>
      </c>
      <c r="C939" s="41">
        <v>24023638</v>
      </c>
      <c r="D939" s="41" t="s">
        <v>1013</v>
      </c>
      <c r="E939" s="41" t="s">
        <v>30</v>
      </c>
      <c r="F939" s="41" t="s">
        <v>30</v>
      </c>
      <c r="G939" s="41" t="s">
        <v>26</v>
      </c>
      <c r="H939" s="42"/>
    </row>
    <row r="940" spans="2:8" ht="18" hidden="1" customHeight="1" x14ac:dyDescent="0.25">
      <c r="B940" s="40">
        <f>SUBTOTAL(3,C$4:C940)</f>
        <v>903</v>
      </c>
      <c r="C940" s="41">
        <v>24119054</v>
      </c>
      <c r="D940" s="41" t="s">
        <v>1014</v>
      </c>
      <c r="E940" s="41" t="s">
        <v>30</v>
      </c>
      <c r="F940" s="41" t="s">
        <v>30</v>
      </c>
      <c r="G940" s="41" t="s">
        <v>27</v>
      </c>
      <c r="H940" s="42"/>
    </row>
    <row r="941" spans="2:8" ht="18" customHeight="1" x14ac:dyDescent="0.25">
      <c r="B941" s="40">
        <f>SUBTOTAL(3,C$4:C941)</f>
        <v>904</v>
      </c>
      <c r="C941" s="41">
        <v>24122233</v>
      </c>
      <c r="D941" s="41" t="s">
        <v>1015</v>
      </c>
      <c r="E941" s="41" t="s">
        <v>30</v>
      </c>
      <c r="F941" s="41" t="s">
        <v>30</v>
      </c>
      <c r="G941" s="41" t="s">
        <v>26</v>
      </c>
      <c r="H941" s="42"/>
    </row>
    <row r="942" spans="2:8" ht="18" customHeight="1" x14ac:dyDescent="0.25">
      <c r="B942" s="40">
        <f>SUBTOTAL(3,C$4:C942)</f>
        <v>905</v>
      </c>
      <c r="C942" s="41">
        <v>24027781</v>
      </c>
      <c r="D942" s="41" t="s">
        <v>1016</v>
      </c>
      <c r="E942" s="41" t="s">
        <v>30</v>
      </c>
      <c r="F942" s="41" t="s">
        <v>30</v>
      </c>
      <c r="G942" s="41" t="s">
        <v>26</v>
      </c>
      <c r="H942" s="42"/>
    </row>
    <row r="943" spans="2:8" ht="18" customHeight="1" x14ac:dyDescent="0.25">
      <c r="B943" s="40">
        <f>SUBTOTAL(3,C$4:C943)</f>
        <v>906</v>
      </c>
      <c r="C943" s="41">
        <v>24035113</v>
      </c>
      <c r="D943" s="41" t="s">
        <v>1017</v>
      </c>
      <c r="E943" s="41" t="s">
        <v>30</v>
      </c>
      <c r="F943" s="41" t="s">
        <v>30</v>
      </c>
      <c r="G943" s="41" t="s">
        <v>26</v>
      </c>
      <c r="H943" s="42"/>
    </row>
    <row r="944" spans="2:8" ht="18" customHeight="1" x14ac:dyDescent="0.25">
      <c r="B944" s="40">
        <f>SUBTOTAL(3,C$4:C944)</f>
        <v>907</v>
      </c>
      <c r="C944" s="41">
        <v>24034472</v>
      </c>
      <c r="D944" s="41" t="s">
        <v>1018</v>
      </c>
      <c r="E944" s="41" t="s">
        <v>30</v>
      </c>
      <c r="F944" s="41" t="s">
        <v>30</v>
      </c>
      <c r="G944" s="41" t="s">
        <v>26</v>
      </c>
      <c r="H944" s="42"/>
    </row>
    <row r="945" spans="2:8" ht="18" customHeight="1" x14ac:dyDescent="0.25">
      <c r="B945" s="40">
        <f>SUBTOTAL(3,C$4:C945)</f>
        <v>908</v>
      </c>
      <c r="C945" s="41">
        <v>24019701</v>
      </c>
      <c r="D945" s="41" t="s">
        <v>1019</v>
      </c>
      <c r="E945" s="41" t="s">
        <v>30</v>
      </c>
      <c r="F945" s="41" t="s">
        <v>30</v>
      </c>
      <c r="G945" s="41" t="s">
        <v>26</v>
      </c>
      <c r="H945" s="42"/>
    </row>
    <row r="946" spans="2:8" ht="18" customHeight="1" x14ac:dyDescent="0.25">
      <c r="B946" s="40">
        <f>SUBTOTAL(3,C$4:C946)</f>
        <v>909</v>
      </c>
      <c r="C946" s="41">
        <v>24027957</v>
      </c>
      <c r="D946" s="41" t="s">
        <v>1020</v>
      </c>
      <c r="E946" s="41" t="s">
        <v>30</v>
      </c>
      <c r="F946" s="41" t="s">
        <v>30</v>
      </c>
      <c r="G946" s="41" t="s">
        <v>26</v>
      </c>
      <c r="H946" s="42"/>
    </row>
    <row r="947" spans="2:8" ht="18" customHeight="1" x14ac:dyDescent="0.25">
      <c r="B947" s="40">
        <f>SUBTOTAL(3,C$4:C947)</f>
        <v>910</v>
      </c>
      <c r="C947" s="41">
        <v>24023684</v>
      </c>
      <c r="D947" s="41" t="s">
        <v>1021</v>
      </c>
      <c r="E947" s="41" t="s">
        <v>30</v>
      </c>
      <c r="F947" s="41" t="s">
        <v>30</v>
      </c>
      <c r="G947" s="41" t="s">
        <v>26</v>
      </c>
      <c r="H947" s="42"/>
    </row>
    <row r="948" spans="2:8" ht="18" customHeight="1" x14ac:dyDescent="0.25">
      <c r="B948" s="40">
        <f>SUBTOTAL(3,C$4:C948)</f>
        <v>911</v>
      </c>
      <c r="C948" s="41">
        <v>24035556</v>
      </c>
      <c r="D948" s="41" t="s">
        <v>1022</v>
      </c>
      <c r="E948" s="41" t="s">
        <v>30</v>
      </c>
      <c r="F948" s="41" t="s">
        <v>30</v>
      </c>
      <c r="G948" s="41" t="s">
        <v>28</v>
      </c>
      <c r="H948" s="42"/>
    </row>
    <row r="949" spans="2:8" ht="18" customHeight="1" x14ac:dyDescent="0.25">
      <c r="B949" s="40">
        <f>SUBTOTAL(3,C$4:C949)</f>
        <v>912</v>
      </c>
      <c r="C949" s="41">
        <v>24021292</v>
      </c>
      <c r="D949" s="41" t="s">
        <v>1023</v>
      </c>
      <c r="E949" s="41" t="s">
        <v>30</v>
      </c>
      <c r="F949" s="41" t="s">
        <v>30</v>
      </c>
      <c r="G949" s="41" t="s">
        <v>26</v>
      </c>
      <c r="H949" s="42"/>
    </row>
    <row r="950" spans="2:8" ht="18" customHeight="1" x14ac:dyDescent="0.25">
      <c r="B950" s="40">
        <f>SUBTOTAL(3,C$4:C950)</f>
        <v>913</v>
      </c>
      <c r="C950" s="41">
        <v>24262264</v>
      </c>
      <c r="D950" s="41" t="s">
        <v>1024</v>
      </c>
      <c r="E950" s="41" t="s">
        <v>30</v>
      </c>
      <c r="F950" s="41" t="s">
        <v>30</v>
      </c>
      <c r="G950" s="41" t="s">
        <v>26</v>
      </c>
      <c r="H950" s="42"/>
    </row>
    <row r="951" spans="2:8" ht="18" customHeight="1" x14ac:dyDescent="0.25">
      <c r="B951" s="40">
        <f>SUBTOTAL(3,C$4:C951)</f>
        <v>914</v>
      </c>
      <c r="C951" s="41">
        <v>24034516</v>
      </c>
      <c r="D951" s="41" t="s">
        <v>1025</v>
      </c>
      <c r="E951" s="41" t="s">
        <v>30</v>
      </c>
      <c r="F951" s="41" t="s">
        <v>30</v>
      </c>
      <c r="G951" s="41" t="s">
        <v>26</v>
      </c>
      <c r="H951" s="42"/>
    </row>
    <row r="952" spans="2:8" ht="18" customHeight="1" x14ac:dyDescent="0.25">
      <c r="B952" s="40">
        <f>SUBTOTAL(3,C$4:C952)</f>
        <v>915</v>
      </c>
      <c r="C952" s="41">
        <v>24255899</v>
      </c>
      <c r="D952" s="41" t="s">
        <v>1026</v>
      </c>
      <c r="E952" s="41" t="s">
        <v>30</v>
      </c>
      <c r="F952" s="41" t="s">
        <v>30</v>
      </c>
      <c r="G952" s="41" t="s">
        <v>26</v>
      </c>
      <c r="H952" s="42"/>
    </row>
    <row r="953" spans="2:8" ht="18" customHeight="1" x14ac:dyDescent="0.25">
      <c r="B953" s="40">
        <f>SUBTOTAL(3,C$4:C953)</f>
        <v>916</v>
      </c>
      <c r="C953" s="41">
        <v>24033666</v>
      </c>
      <c r="D953" s="41" t="s">
        <v>1027</v>
      </c>
      <c r="E953" s="41" t="s">
        <v>30</v>
      </c>
      <c r="F953" s="41" t="s">
        <v>30</v>
      </c>
      <c r="G953" s="41" t="s">
        <v>26</v>
      </c>
      <c r="H953" s="42"/>
    </row>
    <row r="954" spans="2:8" ht="18" customHeight="1" x14ac:dyDescent="0.25">
      <c r="B954" s="40">
        <f>SUBTOTAL(3,C$4:C954)</f>
        <v>917</v>
      </c>
      <c r="C954" s="41">
        <v>24030931</v>
      </c>
      <c r="D954" s="41" t="s">
        <v>1028</v>
      </c>
      <c r="E954" s="41" t="s">
        <v>30</v>
      </c>
      <c r="F954" s="41" t="s">
        <v>30</v>
      </c>
      <c r="G954" s="41" t="s">
        <v>26</v>
      </c>
      <c r="H954" s="42"/>
    </row>
    <row r="955" spans="2:8" ht="18" customHeight="1" x14ac:dyDescent="0.25">
      <c r="B955" s="40">
        <f>SUBTOTAL(3,C$4:C955)</f>
        <v>918</v>
      </c>
      <c r="C955" s="41">
        <v>24308849</v>
      </c>
      <c r="D955" s="41" t="s">
        <v>1259</v>
      </c>
      <c r="E955" s="41" t="s">
        <v>33</v>
      </c>
      <c r="F955" s="41" t="s">
        <v>1260</v>
      </c>
      <c r="G955" s="41" t="s">
        <v>28</v>
      </c>
      <c r="H955" s="42"/>
    </row>
    <row r="956" spans="2:8" ht="18" customHeight="1" x14ac:dyDescent="0.25">
      <c r="B956" s="40">
        <f>SUBTOTAL(3,C$4:C956)</f>
        <v>919</v>
      </c>
      <c r="C956" s="41">
        <v>24308858</v>
      </c>
      <c r="D956" s="41" t="s">
        <v>2199</v>
      </c>
      <c r="E956" s="41" t="s">
        <v>33</v>
      </c>
      <c r="F956" s="41" t="s">
        <v>1260</v>
      </c>
      <c r="G956" s="41" t="s">
        <v>28</v>
      </c>
      <c r="H956" s="42"/>
    </row>
    <row r="957" spans="2:8" ht="18" customHeight="1" x14ac:dyDescent="0.25">
      <c r="B957" s="40">
        <f>SUBTOTAL(3,C$4:C957)</f>
        <v>920</v>
      </c>
      <c r="C957" s="41">
        <v>24177910</v>
      </c>
      <c r="D957" s="41" t="s">
        <v>2384</v>
      </c>
      <c r="E957" s="41" t="s">
        <v>33</v>
      </c>
      <c r="F957" s="41" t="s">
        <v>2385</v>
      </c>
      <c r="G957" s="41" t="s">
        <v>28</v>
      </c>
      <c r="H957" s="42"/>
    </row>
    <row r="958" spans="2:8" ht="18" customHeight="1" x14ac:dyDescent="0.25">
      <c r="B958" s="40">
        <f>SUBTOTAL(3,C$4:C958)</f>
        <v>921</v>
      </c>
      <c r="C958" s="41">
        <v>24340247</v>
      </c>
      <c r="D958" s="41" t="s">
        <v>2068</v>
      </c>
      <c r="E958" s="41" t="s">
        <v>33</v>
      </c>
      <c r="F958" s="41" t="s">
        <v>2069</v>
      </c>
      <c r="G958" s="41" t="s">
        <v>28</v>
      </c>
      <c r="H958" s="42"/>
    </row>
    <row r="959" spans="2:8" ht="18" customHeight="1" x14ac:dyDescent="0.25">
      <c r="B959" s="40">
        <f>SUBTOTAL(3,C$4:C959)</f>
        <v>922</v>
      </c>
      <c r="C959" s="41">
        <v>24340246</v>
      </c>
      <c r="D959" s="41" t="s">
        <v>2437</v>
      </c>
      <c r="E959" s="41" t="s">
        <v>33</v>
      </c>
      <c r="F959" s="41" t="s">
        <v>2069</v>
      </c>
      <c r="G959" s="41" t="s">
        <v>28</v>
      </c>
      <c r="H959" s="42"/>
    </row>
    <row r="960" spans="2:8" ht="18" customHeight="1" x14ac:dyDescent="0.25">
      <c r="B960" s="40">
        <f>SUBTOTAL(3,C$4:C960)</f>
        <v>923</v>
      </c>
      <c r="C960" s="41">
        <v>24344428</v>
      </c>
      <c r="D960" s="41" t="s">
        <v>1910</v>
      </c>
      <c r="E960" s="41" t="s">
        <v>33</v>
      </c>
      <c r="F960" s="41" t="s">
        <v>1911</v>
      </c>
      <c r="G960" s="41" t="s">
        <v>28</v>
      </c>
      <c r="H960" s="42"/>
    </row>
    <row r="961" spans="2:8" ht="18" customHeight="1" x14ac:dyDescent="0.25">
      <c r="B961" s="40">
        <f>SUBTOTAL(3,C$4:C961)</f>
        <v>924</v>
      </c>
      <c r="C961" s="41">
        <v>24268173</v>
      </c>
      <c r="D961" s="41" t="s">
        <v>1925</v>
      </c>
      <c r="E961" s="41" t="s">
        <v>33</v>
      </c>
      <c r="F961" s="41" t="s">
        <v>1926</v>
      </c>
      <c r="G961" s="41" t="s">
        <v>28</v>
      </c>
      <c r="H961" s="42"/>
    </row>
    <row r="962" spans="2:8" ht="18" customHeight="1" x14ac:dyDescent="0.25">
      <c r="B962" s="40">
        <f>SUBTOTAL(3,C$4:C962)</f>
        <v>925</v>
      </c>
      <c r="C962" s="41">
        <v>24340038</v>
      </c>
      <c r="D962" s="41" t="s">
        <v>1944</v>
      </c>
      <c r="E962" s="41" t="s">
        <v>33</v>
      </c>
      <c r="F962" s="41" t="s">
        <v>1926</v>
      </c>
      <c r="G962" s="41" t="s">
        <v>28</v>
      </c>
      <c r="H962" s="42"/>
    </row>
    <row r="963" spans="2:8" ht="18" customHeight="1" x14ac:dyDescent="0.25">
      <c r="B963" s="40">
        <f>SUBTOTAL(3,C$4:C963)</f>
        <v>926</v>
      </c>
      <c r="C963" s="41">
        <v>24338222</v>
      </c>
      <c r="D963" s="41" t="s">
        <v>2049</v>
      </c>
      <c r="E963" s="41" t="s">
        <v>33</v>
      </c>
      <c r="F963" s="41" t="s">
        <v>1926</v>
      </c>
      <c r="G963" s="41" t="s">
        <v>28</v>
      </c>
      <c r="H963" s="42"/>
    </row>
    <row r="964" spans="2:8" ht="18" customHeight="1" x14ac:dyDescent="0.25">
      <c r="B964" s="40">
        <f>SUBTOTAL(3,C$4:C964)</f>
        <v>927</v>
      </c>
      <c r="C964" s="41">
        <v>24344455</v>
      </c>
      <c r="D964" s="41" t="s">
        <v>2159</v>
      </c>
      <c r="E964" s="41" t="s">
        <v>33</v>
      </c>
      <c r="F964" s="41" t="s">
        <v>1926</v>
      </c>
      <c r="G964" s="41" t="s">
        <v>28</v>
      </c>
      <c r="H964" s="42"/>
    </row>
    <row r="965" spans="2:8" ht="18" customHeight="1" x14ac:dyDescent="0.25">
      <c r="B965" s="40">
        <f>SUBTOTAL(3,C$4:C965)</f>
        <v>928</v>
      </c>
      <c r="C965" s="41">
        <v>24337350</v>
      </c>
      <c r="D965" s="41" t="s">
        <v>2293</v>
      </c>
      <c r="E965" s="41" t="s">
        <v>33</v>
      </c>
      <c r="F965" s="41" t="s">
        <v>1926</v>
      </c>
      <c r="G965" s="41" t="s">
        <v>28</v>
      </c>
      <c r="H965" s="42"/>
    </row>
    <row r="966" spans="2:8" ht="18" customHeight="1" x14ac:dyDescent="0.25">
      <c r="B966" s="40">
        <f>SUBTOTAL(3,C$4:C966)</f>
        <v>929</v>
      </c>
      <c r="C966" s="41">
        <v>24337140</v>
      </c>
      <c r="D966" s="41" t="s">
        <v>2349</v>
      </c>
      <c r="E966" s="41" t="s">
        <v>33</v>
      </c>
      <c r="F966" s="41" t="s">
        <v>1926</v>
      </c>
      <c r="G966" s="41" t="s">
        <v>28</v>
      </c>
      <c r="H966" s="42"/>
    </row>
    <row r="967" spans="2:8" ht="18" customHeight="1" x14ac:dyDescent="0.25">
      <c r="B967" s="40">
        <f>SUBTOTAL(3,C$4:C967)</f>
        <v>930</v>
      </c>
      <c r="C967" s="41">
        <v>24331293</v>
      </c>
      <c r="D967" s="41" t="s">
        <v>1971</v>
      </c>
      <c r="E967" s="41" t="s">
        <v>33</v>
      </c>
      <c r="F967" s="41" t="s">
        <v>1972</v>
      </c>
      <c r="G967" s="41" t="s">
        <v>28</v>
      </c>
      <c r="H967" s="42"/>
    </row>
    <row r="968" spans="2:8" ht="18" customHeight="1" x14ac:dyDescent="0.25">
      <c r="B968" s="40">
        <f>SUBTOTAL(3,C$4:C968)</f>
        <v>931</v>
      </c>
      <c r="C968" s="41">
        <v>24343046</v>
      </c>
      <c r="D968" s="41" t="s">
        <v>2014</v>
      </c>
      <c r="E968" s="41" t="s">
        <v>33</v>
      </c>
      <c r="F968" s="41" t="s">
        <v>1972</v>
      </c>
      <c r="G968" s="41" t="s">
        <v>28</v>
      </c>
      <c r="H968" s="42"/>
    </row>
    <row r="969" spans="2:8" ht="18" customHeight="1" x14ac:dyDescent="0.25">
      <c r="B969" s="40">
        <f>SUBTOTAL(3,C$4:C969)</f>
        <v>932</v>
      </c>
      <c r="C969" s="41">
        <v>24343054</v>
      </c>
      <c r="D969" s="41" t="s">
        <v>2026</v>
      </c>
      <c r="E969" s="41" t="s">
        <v>33</v>
      </c>
      <c r="F969" s="41" t="s">
        <v>1972</v>
      </c>
      <c r="G969" s="41" t="s">
        <v>28</v>
      </c>
      <c r="H969" s="42"/>
    </row>
    <row r="970" spans="2:8" ht="18" customHeight="1" x14ac:dyDescent="0.25">
      <c r="B970" s="40">
        <f>SUBTOTAL(3,C$4:C970)</f>
        <v>933</v>
      </c>
      <c r="C970" s="41">
        <v>24315984</v>
      </c>
      <c r="D970" s="41" t="s">
        <v>2104</v>
      </c>
      <c r="E970" s="41" t="s">
        <v>33</v>
      </c>
      <c r="F970" s="41" t="s">
        <v>1972</v>
      </c>
      <c r="G970" s="41" t="s">
        <v>28</v>
      </c>
      <c r="H970" s="42"/>
    </row>
    <row r="971" spans="2:8" ht="18" customHeight="1" x14ac:dyDescent="0.25">
      <c r="B971" s="40">
        <f>SUBTOTAL(3,C$4:C971)</f>
        <v>934</v>
      </c>
      <c r="C971" s="41">
        <v>24361316</v>
      </c>
      <c r="D971" s="41" t="s">
        <v>2111</v>
      </c>
      <c r="E971" s="41" t="s">
        <v>33</v>
      </c>
      <c r="F971" s="41" t="s">
        <v>1972</v>
      </c>
      <c r="G971" s="41" t="s">
        <v>28</v>
      </c>
      <c r="H971" s="42"/>
    </row>
    <row r="972" spans="2:8" ht="18" customHeight="1" x14ac:dyDescent="0.25">
      <c r="B972" s="40">
        <f>SUBTOTAL(3,C$4:C972)</f>
        <v>935</v>
      </c>
      <c r="C972" s="41">
        <v>24353546</v>
      </c>
      <c r="D972" s="41" t="s">
        <v>2183</v>
      </c>
      <c r="E972" s="41" t="s">
        <v>33</v>
      </c>
      <c r="F972" s="41" t="s">
        <v>1972</v>
      </c>
      <c r="G972" s="41" t="s">
        <v>28</v>
      </c>
      <c r="H972" s="42"/>
    </row>
    <row r="973" spans="2:8" ht="18" customHeight="1" x14ac:dyDescent="0.25">
      <c r="B973" s="40">
        <f>SUBTOTAL(3,C$4:C973)</f>
        <v>936</v>
      </c>
      <c r="C973" s="41">
        <v>24343000</v>
      </c>
      <c r="D973" s="41" t="s">
        <v>2223</v>
      </c>
      <c r="E973" s="41" t="s">
        <v>33</v>
      </c>
      <c r="F973" s="41" t="s">
        <v>1972</v>
      </c>
      <c r="G973" s="41" t="s">
        <v>28</v>
      </c>
      <c r="H973" s="42"/>
    </row>
    <row r="974" spans="2:8" ht="18" customHeight="1" x14ac:dyDescent="0.25">
      <c r="B974" s="40">
        <f>SUBTOTAL(3,C$4:C974)</f>
        <v>937</v>
      </c>
      <c r="C974" s="41">
        <v>24334966</v>
      </c>
      <c r="D974" s="41" t="s">
        <v>2313</v>
      </c>
      <c r="E974" s="41" t="s">
        <v>33</v>
      </c>
      <c r="F974" s="41" t="s">
        <v>1972</v>
      </c>
      <c r="G974" s="41" t="s">
        <v>28</v>
      </c>
      <c r="H974" s="42"/>
    </row>
    <row r="975" spans="2:8" ht="18" customHeight="1" x14ac:dyDescent="0.25">
      <c r="B975" s="40">
        <f>SUBTOTAL(3,C$4:C975)</f>
        <v>938</v>
      </c>
      <c r="C975" s="41">
        <v>24337150</v>
      </c>
      <c r="D975" s="41" t="s">
        <v>2364</v>
      </c>
      <c r="E975" s="41" t="s">
        <v>33</v>
      </c>
      <c r="F975" s="41" t="s">
        <v>1972</v>
      </c>
      <c r="G975" s="41" t="s">
        <v>28</v>
      </c>
      <c r="H975" s="42"/>
    </row>
    <row r="976" spans="2:8" ht="18" customHeight="1" x14ac:dyDescent="0.25">
      <c r="B976" s="40">
        <f>SUBTOTAL(3,C$4:C976)</f>
        <v>939</v>
      </c>
      <c r="C976" s="41">
        <v>24337171</v>
      </c>
      <c r="D976" s="41" t="s">
        <v>2451</v>
      </c>
      <c r="E976" s="41" t="s">
        <v>33</v>
      </c>
      <c r="F976" s="41" t="s">
        <v>1972</v>
      </c>
      <c r="G976" s="41" t="s">
        <v>28</v>
      </c>
      <c r="H976" s="42"/>
    </row>
    <row r="977" spans="2:8" ht="18" customHeight="1" x14ac:dyDescent="0.25">
      <c r="B977" s="40">
        <f>SUBTOTAL(3,C$4:C977)</f>
        <v>940</v>
      </c>
      <c r="C977" s="41">
        <v>24019574</v>
      </c>
      <c r="D977" s="41" t="s">
        <v>1459</v>
      </c>
      <c r="E977" s="41" t="s">
        <v>31</v>
      </c>
      <c r="F977" s="41" t="s">
        <v>1460</v>
      </c>
      <c r="G977" s="41" t="s">
        <v>24</v>
      </c>
      <c r="H977" s="42" t="s">
        <v>1461</v>
      </c>
    </row>
    <row r="978" spans="2:8" ht="18" customHeight="1" x14ac:dyDescent="0.25">
      <c r="B978" s="40">
        <f>SUBTOTAL(3,C$4:C978)</f>
        <v>941</v>
      </c>
      <c r="C978" s="41">
        <v>24034730</v>
      </c>
      <c r="D978" s="41" t="s">
        <v>1444</v>
      </c>
      <c r="E978" s="41" t="s">
        <v>31</v>
      </c>
      <c r="F978" s="41" t="s">
        <v>1445</v>
      </c>
      <c r="G978" s="41" t="s">
        <v>24</v>
      </c>
      <c r="H978" s="42"/>
    </row>
    <row r="979" spans="2:8" ht="18" customHeight="1" x14ac:dyDescent="0.25">
      <c r="B979" s="40">
        <f>SUBTOTAL(3,C$4:C979)</f>
        <v>942</v>
      </c>
      <c r="C979" s="41">
        <v>24036172</v>
      </c>
      <c r="D979" s="41" t="s">
        <v>1433</v>
      </c>
      <c r="E979" s="41" t="s">
        <v>31</v>
      </c>
      <c r="F979" s="41" t="s">
        <v>1434</v>
      </c>
      <c r="G979" s="41" t="s">
        <v>24</v>
      </c>
      <c r="H979" s="42"/>
    </row>
    <row r="980" spans="2:8" ht="18" customHeight="1" x14ac:dyDescent="0.25">
      <c r="B980" s="40">
        <f>SUBTOTAL(3,C$4:C980)</f>
        <v>943</v>
      </c>
      <c r="C980" s="41">
        <v>24022335</v>
      </c>
      <c r="D980" s="41" t="s">
        <v>1456</v>
      </c>
      <c r="E980" s="41" t="s">
        <v>31</v>
      </c>
      <c r="F980" s="41" t="s">
        <v>1457</v>
      </c>
      <c r="G980" s="41" t="s">
        <v>24</v>
      </c>
      <c r="H980" s="42"/>
    </row>
    <row r="981" spans="2:8" ht="18" customHeight="1" x14ac:dyDescent="0.25">
      <c r="B981" s="40">
        <f>SUBTOTAL(3,C$4:C981)</f>
        <v>944</v>
      </c>
      <c r="C981" s="41">
        <v>24019084</v>
      </c>
      <c r="D981" s="41" t="s">
        <v>1437</v>
      </c>
      <c r="E981" s="41" t="s">
        <v>31</v>
      </c>
      <c r="F981" s="41" t="s">
        <v>1438</v>
      </c>
      <c r="G981" s="41" t="s">
        <v>24</v>
      </c>
      <c r="H981" s="42"/>
    </row>
    <row r="982" spans="2:8" ht="18" customHeight="1" x14ac:dyDescent="0.25">
      <c r="B982" s="40">
        <f>SUBTOTAL(3,C$4:C982)</f>
        <v>945</v>
      </c>
      <c r="C982" s="41">
        <v>24021307</v>
      </c>
      <c r="D982" s="41" t="s">
        <v>1462</v>
      </c>
      <c r="E982" s="41" t="s">
        <v>31</v>
      </c>
      <c r="F982" s="41" t="s">
        <v>1438</v>
      </c>
      <c r="G982" s="41" t="s">
        <v>24</v>
      </c>
      <c r="H982" s="42"/>
    </row>
    <row r="983" spans="2:8" ht="18" customHeight="1" x14ac:dyDescent="0.25">
      <c r="B983" s="40">
        <f>SUBTOTAL(3,C$4:C983)</f>
        <v>946</v>
      </c>
      <c r="C983" s="41">
        <v>24020496</v>
      </c>
      <c r="D983" s="41" t="s">
        <v>1431</v>
      </c>
      <c r="E983" s="41" t="s">
        <v>31</v>
      </c>
      <c r="F983" s="41" t="s">
        <v>1432</v>
      </c>
      <c r="G983" s="41" t="s">
        <v>24</v>
      </c>
      <c r="H983" s="42"/>
    </row>
    <row r="984" spans="2:8" ht="18" customHeight="1" x14ac:dyDescent="0.25">
      <c r="B984" s="40">
        <f>SUBTOTAL(3,C$4:C984)</f>
        <v>947</v>
      </c>
      <c r="C984" s="41">
        <v>24033061</v>
      </c>
      <c r="D984" s="41" t="s">
        <v>1435</v>
      </c>
      <c r="E984" s="41" t="s">
        <v>31</v>
      </c>
      <c r="F984" s="41" t="s">
        <v>1432</v>
      </c>
      <c r="G984" s="41" t="s">
        <v>24</v>
      </c>
      <c r="H984" s="42"/>
    </row>
    <row r="985" spans="2:8" ht="18" customHeight="1" x14ac:dyDescent="0.25">
      <c r="B985" s="40">
        <f>SUBTOTAL(3,C$4:C985)</f>
        <v>948</v>
      </c>
      <c r="C985" s="41">
        <v>24036983</v>
      </c>
      <c r="D985" s="41" t="s">
        <v>1436</v>
      </c>
      <c r="E985" s="41" t="s">
        <v>31</v>
      </c>
      <c r="F985" s="41" t="s">
        <v>1432</v>
      </c>
      <c r="G985" s="41" t="s">
        <v>24</v>
      </c>
      <c r="H985" s="42"/>
    </row>
    <row r="986" spans="2:8" ht="18" customHeight="1" x14ac:dyDescent="0.25">
      <c r="B986" s="40">
        <f>SUBTOTAL(3,C$4:C986)</f>
        <v>949</v>
      </c>
      <c r="C986" s="41">
        <v>24020108</v>
      </c>
      <c r="D986" s="41" t="s">
        <v>1441</v>
      </c>
      <c r="E986" s="41" t="s">
        <v>31</v>
      </c>
      <c r="F986" s="41" t="s">
        <v>1432</v>
      </c>
      <c r="G986" s="41" t="s">
        <v>24</v>
      </c>
      <c r="H986" s="42"/>
    </row>
    <row r="987" spans="2:8" ht="18" customHeight="1" x14ac:dyDescent="0.25">
      <c r="B987" s="40">
        <f>SUBTOTAL(3,C$4:C987)</f>
        <v>950</v>
      </c>
      <c r="C987" s="41">
        <v>24033447</v>
      </c>
      <c r="D987" s="41" t="s">
        <v>1442</v>
      </c>
      <c r="E987" s="41" t="s">
        <v>31</v>
      </c>
      <c r="F987" s="41" t="s">
        <v>1432</v>
      </c>
      <c r="G987" s="41" t="s">
        <v>24</v>
      </c>
      <c r="H987" s="42"/>
    </row>
    <row r="988" spans="2:8" ht="18" customHeight="1" x14ac:dyDescent="0.25">
      <c r="B988" s="40">
        <f>SUBTOTAL(3,C$4:C988)</f>
        <v>951</v>
      </c>
      <c r="C988" s="41">
        <v>24027186</v>
      </c>
      <c r="D988" s="41" t="s">
        <v>1443</v>
      </c>
      <c r="E988" s="41" t="s">
        <v>31</v>
      </c>
      <c r="F988" s="41" t="s">
        <v>1432</v>
      </c>
      <c r="G988" s="41" t="s">
        <v>24</v>
      </c>
      <c r="H988" s="42"/>
    </row>
    <row r="989" spans="2:8" ht="18" customHeight="1" x14ac:dyDescent="0.25">
      <c r="B989" s="40">
        <f>SUBTOTAL(3,C$4:C989)</f>
        <v>952</v>
      </c>
      <c r="C989" s="41">
        <v>24027729</v>
      </c>
      <c r="D989" s="41" t="s">
        <v>1446</v>
      </c>
      <c r="E989" s="41" t="s">
        <v>31</v>
      </c>
      <c r="F989" s="41" t="s">
        <v>1432</v>
      </c>
      <c r="G989" s="41" t="s">
        <v>24</v>
      </c>
      <c r="H989" s="42"/>
    </row>
    <row r="990" spans="2:8" ht="18" customHeight="1" x14ac:dyDescent="0.25">
      <c r="B990" s="40">
        <f>SUBTOTAL(3,C$4:C990)</f>
        <v>953</v>
      </c>
      <c r="C990" s="41">
        <v>24024711</v>
      </c>
      <c r="D990" s="41" t="s">
        <v>1458</v>
      </c>
      <c r="E990" s="41" t="s">
        <v>31</v>
      </c>
      <c r="F990" s="41" t="s">
        <v>1432</v>
      </c>
      <c r="G990" s="41" t="s">
        <v>24</v>
      </c>
      <c r="H990" s="42"/>
    </row>
    <row r="991" spans="2:8" ht="18" customHeight="1" x14ac:dyDescent="0.25">
      <c r="B991" s="40">
        <f>SUBTOTAL(3,C$4:C991)</f>
        <v>954</v>
      </c>
      <c r="C991" s="41">
        <v>24033144</v>
      </c>
      <c r="D991" s="41" t="s">
        <v>1439</v>
      </c>
      <c r="E991" s="41" t="s">
        <v>31</v>
      </c>
      <c r="F991" s="41" t="s">
        <v>1440</v>
      </c>
      <c r="G991" s="41" t="s">
        <v>24</v>
      </c>
      <c r="H991" s="42"/>
    </row>
    <row r="992" spans="2:8" ht="18" customHeight="1" x14ac:dyDescent="0.25">
      <c r="B992" s="40">
        <f>SUBTOTAL(3,C$4:C992)</f>
        <v>955</v>
      </c>
      <c r="C992" s="41">
        <v>24021355</v>
      </c>
      <c r="D992" s="41" t="s">
        <v>1449</v>
      </c>
      <c r="E992" s="41" t="s">
        <v>31</v>
      </c>
      <c r="F992" s="41" t="s">
        <v>1440</v>
      </c>
      <c r="G992" s="41" t="s">
        <v>24</v>
      </c>
      <c r="H992" s="42"/>
    </row>
    <row r="993" spans="2:8" ht="18" customHeight="1" x14ac:dyDescent="0.25">
      <c r="B993" s="40">
        <f>SUBTOTAL(3,C$4:C993)</f>
        <v>956</v>
      </c>
      <c r="C993" s="41">
        <v>24038314</v>
      </c>
      <c r="D993" s="41" t="s">
        <v>1452</v>
      </c>
      <c r="E993" s="41" t="s">
        <v>31</v>
      </c>
      <c r="F993" s="41" t="s">
        <v>1440</v>
      </c>
      <c r="G993" s="41" t="s">
        <v>24</v>
      </c>
      <c r="H993" s="42"/>
    </row>
    <row r="994" spans="2:8" ht="18" customHeight="1" x14ac:dyDescent="0.25">
      <c r="B994" s="40">
        <f>SUBTOTAL(3,C$4:C994)</f>
        <v>957</v>
      </c>
      <c r="C994" s="41">
        <v>24031559</v>
      </c>
      <c r="D994" s="41" t="s">
        <v>1453</v>
      </c>
      <c r="E994" s="41" t="s">
        <v>31</v>
      </c>
      <c r="F994" s="41" t="s">
        <v>1440</v>
      </c>
      <c r="G994" s="41" t="s">
        <v>24</v>
      </c>
      <c r="H994" s="42"/>
    </row>
    <row r="995" spans="2:8" ht="18" customHeight="1" x14ac:dyDescent="0.25">
      <c r="B995" s="40">
        <f>SUBTOTAL(3,C$4:C995)</f>
        <v>958</v>
      </c>
      <c r="C995" s="41">
        <v>24022674</v>
      </c>
      <c r="D995" s="41" t="s">
        <v>1454</v>
      </c>
      <c r="E995" s="41" t="s">
        <v>31</v>
      </c>
      <c r="F995" s="41" t="s">
        <v>1440</v>
      </c>
      <c r="G995" s="41" t="s">
        <v>24</v>
      </c>
      <c r="H995" s="42"/>
    </row>
    <row r="996" spans="2:8" ht="18" customHeight="1" x14ac:dyDescent="0.25">
      <c r="B996" s="40">
        <f>SUBTOTAL(3,C$4:C996)</f>
        <v>959</v>
      </c>
      <c r="C996" s="41">
        <v>24028634</v>
      </c>
      <c r="D996" s="41" t="s">
        <v>1466</v>
      </c>
      <c r="E996" s="41" t="s">
        <v>31</v>
      </c>
      <c r="F996" s="41" t="s">
        <v>1440</v>
      </c>
      <c r="G996" s="41" t="s">
        <v>24</v>
      </c>
      <c r="H996" s="42"/>
    </row>
    <row r="997" spans="2:8" ht="18" customHeight="1" x14ac:dyDescent="0.25">
      <c r="B997" s="40">
        <f>SUBTOTAL(3,C$4:C997)</f>
        <v>960</v>
      </c>
      <c r="C997" s="41">
        <v>24020833</v>
      </c>
      <c r="D997" s="41" t="s">
        <v>1467</v>
      </c>
      <c r="E997" s="41" t="s">
        <v>31</v>
      </c>
      <c r="F997" s="41" t="s">
        <v>1440</v>
      </c>
      <c r="G997" s="41" t="s">
        <v>24</v>
      </c>
      <c r="H997" s="42" t="s">
        <v>201</v>
      </c>
    </row>
    <row r="998" spans="2:8" ht="18" customHeight="1" x14ac:dyDescent="0.25">
      <c r="B998" s="40">
        <f>SUBTOTAL(3,C$4:C998)</f>
        <v>961</v>
      </c>
      <c r="C998" s="41">
        <v>24025510</v>
      </c>
      <c r="D998" s="41" t="s">
        <v>1447</v>
      </c>
      <c r="E998" s="41" t="s">
        <v>31</v>
      </c>
      <c r="F998" s="41" t="s">
        <v>1448</v>
      </c>
      <c r="G998" s="41" t="s">
        <v>24</v>
      </c>
      <c r="H998" s="42"/>
    </row>
    <row r="999" spans="2:8" ht="18" customHeight="1" x14ac:dyDescent="0.25">
      <c r="B999" s="40">
        <f>SUBTOTAL(3,C$4:C999)</f>
        <v>962</v>
      </c>
      <c r="C999" s="41">
        <v>24036377</v>
      </c>
      <c r="D999" s="41" t="s">
        <v>1455</v>
      </c>
      <c r="E999" s="41" t="s">
        <v>31</v>
      </c>
      <c r="F999" s="41" t="s">
        <v>1448</v>
      </c>
      <c r="G999" s="41" t="s">
        <v>24</v>
      </c>
      <c r="H999" s="42"/>
    </row>
    <row r="1000" spans="2:8" ht="18" customHeight="1" x14ac:dyDescent="0.25">
      <c r="B1000" s="40">
        <f>SUBTOTAL(3,C$4:C1000)</f>
        <v>963</v>
      </c>
      <c r="C1000" s="41">
        <v>24040230</v>
      </c>
      <c r="D1000" s="41" t="s">
        <v>1731</v>
      </c>
      <c r="E1000" s="41" t="s">
        <v>31</v>
      </c>
      <c r="F1000" s="41" t="s">
        <v>1732</v>
      </c>
      <c r="G1000" s="41" t="s">
        <v>24</v>
      </c>
      <c r="H1000" s="42" t="s">
        <v>1461</v>
      </c>
    </row>
    <row r="1001" spans="2:8" ht="18" customHeight="1" x14ac:dyDescent="0.25">
      <c r="B1001" s="40">
        <f>SUBTOTAL(3,C$4:C1001)</f>
        <v>964</v>
      </c>
      <c r="C1001" s="41">
        <v>24030944</v>
      </c>
      <c r="D1001" s="41" t="s">
        <v>1733</v>
      </c>
      <c r="E1001" s="41" t="s">
        <v>31</v>
      </c>
      <c r="F1001" s="41" t="s">
        <v>1732</v>
      </c>
      <c r="G1001" s="41" t="s">
        <v>24</v>
      </c>
      <c r="H1001" s="42"/>
    </row>
    <row r="1002" spans="2:8" ht="18" customHeight="1" x14ac:dyDescent="0.25">
      <c r="B1002" s="40">
        <f>SUBTOTAL(3,C$4:C1002)</f>
        <v>965</v>
      </c>
      <c r="C1002" s="41">
        <v>24034574</v>
      </c>
      <c r="D1002" s="41" t="s">
        <v>1734</v>
      </c>
      <c r="E1002" s="41" t="s">
        <v>31</v>
      </c>
      <c r="F1002" s="41" t="s">
        <v>1732</v>
      </c>
      <c r="G1002" s="41" t="s">
        <v>24</v>
      </c>
      <c r="H1002" s="42"/>
    </row>
    <row r="1003" spans="2:8" ht="18" customHeight="1" x14ac:dyDescent="0.25">
      <c r="B1003" s="40">
        <f>SUBTOTAL(3,C$4:C1003)</f>
        <v>966</v>
      </c>
      <c r="C1003" s="41">
        <v>24028134</v>
      </c>
      <c r="D1003" s="41" t="s">
        <v>1738</v>
      </c>
      <c r="E1003" s="41" t="s">
        <v>31</v>
      </c>
      <c r="F1003" s="41" t="s">
        <v>1732</v>
      </c>
      <c r="G1003" s="41" t="s">
        <v>24</v>
      </c>
      <c r="H1003" s="42" t="s">
        <v>1461</v>
      </c>
    </row>
    <row r="1004" spans="2:8" ht="18" customHeight="1" x14ac:dyDescent="0.25">
      <c r="B1004" s="40">
        <f>SUBTOTAL(3,C$4:C1004)</f>
        <v>967</v>
      </c>
      <c r="C1004" s="41">
        <v>24040005</v>
      </c>
      <c r="D1004" s="41" t="s">
        <v>397</v>
      </c>
      <c r="E1004" s="41" t="s">
        <v>31</v>
      </c>
      <c r="F1004" s="41" t="s">
        <v>1732</v>
      </c>
      <c r="G1004" s="41" t="s">
        <v>24</v>
      </c>
      <c r="H1004" s="42" t="s">
        <v>1461</v>
      </c>
    </row>
    <row r="1005" spans="2:8" ht="18" customHeight="1" x14ac:dyDescent="0.25">
      <c r="B1005" s="40">
        <f>SUBTOTAL(3,C$4:C1005)</f>
        <v>968</v>
      </c>
      <c r="C1005" s="41">
        <v>24021647</v>
      </c>
      <c r="D1005" s="41" t="s">
        <v>1744</v>
      </c>
      <c r="E1005" s="41" t="s">
        <v>31</v>
      </c>
      <c r="F1005" s="41" t="s">
        <v>1732</v>
      </c>
      <c r="G1005" s="41" t="s">
        <v>24</v>
      </c>
      <c r="H1005" s="42"/>
    </row>
    <row r="1006" spans="2:8" ht="18" customHeight="1" x14ac:dyDescent="0.25">
      <c r="B1006" s="40">
        <f>SUBTOTAL(3,C$4:C1006)</f>
        <v>969</v>
      </c>
      <c r="C1006" s="41">
        <v>24027081</v>
      </c>
      <c r="D1006" s="41" t="s">
        <v>1742</v>
      </c>
      <c r="E1006" s="41" t="s">
        <v>31</v>
      </c>
      <c r="F1006" s="41" t="s">
        <v>1732</v>
      </c>
      <c r="G1006" s="41" t="s">
        <v>24</v>
      </c>
      <c r="H1006" s="42" t="s">
        <v>1461</v>
      </c>
    </row>
    <row r="1007" spans="2:8" ht="18" customHeight="1" x14ac:dyDescent="0.25">
      <c r="B1007" s="40">
        <f>SUBTOTAL(3,C$4:C1007)</f>
        <v>970</v>
      </c>
      <c r="C1007" s="41">
        <v>24036970</v>
      </c>
      <c r="D1007" s="41" t="s">
        <v>1747</v>
      </c>
      <c r="E1007" s="41" t="s">
        <v>31</v>
      </c>
      <c r="F1007" s="41" t="s">
        <v>1732</v>
      </c>
      <c r="G1007" s="41" t="s">
        <v>24</v>
      </c>
      <c r="H1007" s="42"/>
    </row>
    <row r="1008" spans="2:8" ht="18" customHeight="1" x14ac:dyDescent="0.25">
      <c r="B1008" s="40">
        <f>SUBTOTAL(3,C$4:C1008)</f>
        <v>971</v>
      </c>
      <c r="C1008" s="41">
        <v>24036615</v>
      </c>
      <c r="D1008" s="41" t="s">
        <v>1746</v>
      </c>
      <c r="E1008" s="41" t="s">
        <v>31</v>
      </c>
      <c r="F1008" s="41" t="s">
        <v>1732</v>
      </c>
      <c r="G1008" s="41" t="s">
        <v>24</v>
      </c>
      <c r="H1008" s="42" t="s">
        <v>1491</v>
      </c>
    </row>
    <row r="1009" spans="2:8" ht="18" customHeight="1" x14ac:dyDescent="0.25">
      <c r="B1009" s="40">
        <f>SUBTOTAL(3,C$4:C1009)</f>
        <v>972</v>
      </c>
      <c r="C1009" s="41">
        <v>24032124</v>
      </c>
      <c r="D1009" s="41" t="s">
        <v>1748</v>
      </c>
      <c r="E1009" s="41" t="s">
        <v>31</v>
      </c>
      <c r="F1009" s="41" t="s">
        <v>1732</v>
      </c>
      <c r="G1009" s="41" t="s">
        <v>24</v>
      </c>
      <c r="H1009" s="42" t="s">
        <v>1461</v>
      </c>
    </row>
    <row r="1010" spans="2:8" ht="18" customHeight="1" x14ac:dyDescent="0.25">
      <c r="B1010" s="40">
        <f>SUBTOTAL(3,C$4:C1010)</f>
        <v>973</v>
      </c>
      <c r="C1010" s="41">
        <v>24024084</v>
      </c>
      <c r="D1010" s="41" t="s">
        <v>1749</v>
      </c>
      <c r="E1010" s="41" t="s">
        <v>31</v>
      </c>
      <c r="F1010" s="41" t="s">
        <v>1732</v>
      </c>
      <c r="G1010" s="41" t="s">
        <v>24</v>
      </c>
      <c r="H1010" s="42"/>
    </row>
    <row r="1011" spans="2:8" ht="18" customHeight="1" x14ac:dyDescent="0.25">
      <c r="B1011" s="40">
        <f>SUBTOTAL(3,C$4:C1011)</f>
        <v>974</v>
      </c>
      <c r="C1011" s="41">
        <v>24033514</v>
      </c>
      <c r="D1011" s="41" t="s">
        <v>1750</v>
      </c>
      <c r="E1011" s="41" t="s">
        <v>31</v>
      </c>
      <c r="F1011" s="41" t="s">
        <v>1732</v>
      </c>
      <c r="G1011" s="41" t="s">
        <v>24</v>
      </c>
      <c r="H1011" s="42"/>
    </row>
    <row r="1012" spans="2:8" ht="18" customHeight="1" x14ac:dyDescent="0.25">
      <c r="B1012" s="40">
        <f>SUBTOTAL(3,C$4:C1012)</f>
        <v>975</v>
      </c>
      <c r="C1012" s="41">
        <v>24028908</v>
      </c>
      <c r="D1012" s="41" t="s">
        <v>1751</v>
      </c>
      <c r="E1012" s="41" t="s">
        <v>31</v>
      </c>
      <c r="F1012" s="41" t="s">
        <v>1732</v>
      </c>
      <c r="G1012" s="41" t="s">
        <v>24</v>
      </c>
      <c r="H1012" s="42"/>
    </row>
    <row r="1013" spans="2:8" ht="18" customHeight="1" x14ac:dyDescent="0.25">
      <c r="B1013" s="40">
        <f>SUBTOTAL(3,C$4:C1013)</f>
        <v>976</v>
      </c>
      <c r="C1013" s="41">
        <v>24035761</v>
      </c>
      <c r="D1013" s="41" t="s">
        <v>1752</v>
      </c>
      <c r="E1013" s="41" t="s">
        <v>31</v>
      </c>
      <c r="F1013" s="41" t="s">
        <v>1732</v>
      </c>
      <c r="G1013" s="41" t="s">
        <v>24</v>
      </c>
      <c r="H1013" s="42"/>
    </row>
    <row r="1014" spans="2:8" ht="18" customHeight="1" x14ac:dyDescent="0.25">
      <c r="B1014" s="40">
        <f>SUBTOTAL(3,C$4:C1014)</f>
        <v>977</v>
      </c>
      <c r="C1014" s="41">
        <v>24025591</v>
      </c>
      <c r="D1014" s="41" t="s">
        <v>1755</v>
      </c>
      <c r="E1014" s="41" t="s">
        <v>31</v>
      </c>
      <c r="F1014" s="41" t="s">
        <v>1732</v>
      </c>
      <c r="G1014" s="41" t="s">
        <v>24</v>
      </c>
      <c r="H1014" s="42"/>
    </row>
    <row r="1015" spans="2:8" ht="18" customHeight="1" x14ac:dyDescent="0.25">
      <c r="B1015" s="40">
        <f>SUBTOTAL(3,C$4:C1015)</f>
        <v>978</v>
      </c>
      <c r="C1015" s="41">
        <v>24031325</v>
      </c>
      <c r="D1015" s="41" t="s">
        <v>1754</v>
      </c>
      <c r="E1015" s="41" t="s">
        <v>31</v>
      </c>
      <c r="F1015" s="41" t="s">
        <v>1732</v>
      </c>
      <c r="G1015" s="41" t="s">
        <v>24</v>
      </c>
      <c r="H1015" s="42"/>
    </row>
    <row r="1016" spans="2:8" ht="18" customHeight="1" x14ac:dyDescent="0.25">
      <c r="B1016" s="40">
        <f>SUBTOTAL(3,C$4:C1016)</f>
        <v>979</v>
      </c>
      <c r="C1016" s="41">
        <v>24033545</v>
      </c>
      <c r="D1016" s="41" t="s">
        <v>1761</v>
      </c>
      <c r="E1016" s="41" t="s">
        <v>31</v>
      </c>
      <c r="F1016" s="41" t="s">
        <v>1732</v>
      </c>
      <c r="G1016" s="41" t="s">
        <v>24</v>
      </c>
      <c r="H1016" s="42"/>
    </row>
    <row r="1017" spans="2:8" ht="18" customHeight="1" x14ac:dyDescent="0.25">
      <c r="B1017" s="40">
        <f>SUBTOTAL(3,C$4:C1017)</f>
        <v>980</v>
      </c>
      <c r="C1017" s="41">
        <v>24019174</v>
      </c>
      <c r="D1017" s="41" t="s">
        <v>1739</v>
      </c>
      <c r="E1017" s="41" t="s">
        <v>31</v>
      </c>
      <c r="F1017" s="41" t="s">
        <v>1740</v>
      </c>
      <c r="G1017" s="41" t="s">
        <v>24</v>
      </c>
      <c r="H1017" s="42" t="s">
        <v>1461</v>
      </c>
    </row>
    <row r="1018" spans="2:8" ht="18" customHeight="1" x14ac:dyDescent="0.25">
      <c r="B1018" s="40">
        <f>SUBTOTAL(3,C$4:C1018)</f>
        <v>981</v>
      </c>
      <c r="C1018" s="41">
        <v>24255843</v>
      </c>
      <c r="D1018" s="41" t="s">
        <v>1759</v>
      </c>
      <c r="E1018" s="41" t="s">
        <v>31</v>
      </c>
      <c r="F1018" s="41" t="s">
        <v>1740</v>
      </c>
      <c r="G1018" s="41" t="s">
        <v>24</v>
      </c>
      <c r="H1018" s="42" t="s">
        <v>1461</v>
      </c>
    </row>
    <row r="1019" spans="2:8" ht="18" customHeight="1" x14ac:dyDescent="0.25">
      <c r="B1019" s="40">
        <f>SUBTOTAL(3,C$4:C1019)</f>
        <v>982</v>
      </c>
      <c r="C1019" s="41">
        <v>24120391</v>
      </c>
      <c r="D1019" s="41" t="s">
        <v>1489</v>
      </c>
      <c r="E1019" s="41" t="s">
        <v>31</v>
      </c>
      <c r="F1019" s="41" t="s">
        <v>1490</v>
      </c>
      <c r="G1019" s="41" t="s">
        <v>24</v>
      </c>
      <c r="H1019" s="42" t="s">
        <v>1491</v>
      </c>
    </row>
    <row r="1020" spans="2:8" ht="18" customHeight="1" x14ac:dyDescent="0.25">
      <c r="B1020" s="40">
        <f>SUBTOTAL(3,C$4:C1020)</f>
        <v>983</v>
      </c>
      <c r="C1020" s="41">
        <v>24023196</v>
      </c>
      <c r="D1020" s="41" t="s">
        <v>1492</v>
      </c>
      <c r="E1020" s="41" t="s">
        <v>31</v>
      </c>
      <c r="F1020" s="41" t="s">
        <v>1490</v>
      </c>
      <c r="G1020" s="41" t="s">
        <v>24</v>
      </c>
      <c r="H1020" s="42" t="s">
        <v>1461</v>
      </c>
    </row>
    <row r="1021" spans="2:8" ht="18" customHeight="1" x14ac:dyDescent="0.25">
      <c r="B1021" s="40">
        <f>SUBTOTAL(3,C$4:C1021)</f>
        <v>984</v>
      </c>
      <c r="C1021" s="41">
        <v>24037798</v>
      </c>
      <c r="D1021" s="41" t="s">
        <v>1493</v>
      </c>
      <c r="E1021" s="41" t="s">
        <v>31</v>
      </c>
      <c r="F1021" s="41" t="s">
        <v>1490</v>
      </c>
      <c r="G1021" s="41" t="s">
        <v>24</v>
      </c>
      <c r="H1021" s="42"/>
    </row>
    <row r="1022" spans="2:8" ht="18" customHeight="1" x14ac:dyDescent="0.25">
      <c r="B1022" s="40">
        <f>SUBTOTAL(3,C$4:C1022)</f>
        <v>985</v>
      </c>
      <c r="C1022" s="41">
        <v>24021850</v>
      </c>
      <c r="D1022" s="41" t="s">
        <v>1495</v>
      </c>
      <c r="E1022" s="41" t="s">
        <v>31</v>
      </c>
      <c r="F1022" s="41" t="s">
        <v>1490</v>
      </c>
      <c r="G1022" s="41" t="s">
        <v>24</v>
      </c>
      <c r="H1022" s="42" t="s">
        <v>1461</v>
      </c>
    </row>
    <row r="1023" spans="2:8" ht="18" customHeight="1" x14ac:dyDescent="0.25">
      <c r="B1023" s="40">
        <f>SUBTOTAL(3,C$4:C1023)</f>
        <v>986</v>
      </c>
      <c r="C1023" s="41">
        <v>24034805</v>
      </c>
      <c r="D1023" s="41" t="s">
        <v>1494</v>
      </c>
      <c r="E1023" s="41" t="s">
        <v>31</v>
      </c>
      <c r="F1023" s="41" t="s">
        <v>1490</v>
      </c>
      <c r="G1023" s="41" t="s">
        <v>24</v>
      </c>
      <c r="H1023" s="42"/>
    </row>
    <row r="1024" spans="2:8" ht="18" customHeight="1" x14ac:dyDescent="0.25">
      <c r="B1024" s="40">
        <f>SUBTOTAL(3,C$4:C1024)</f>
        <v>987</v>
      </c>
      <c r="C1024" s="41">
        <v>24027301</v>
      </c>
      <c r="D1024" s="41" t="s">
        <v>1496</v>
      </c>
      <c r="E1024" s="41" t="s">
        <v>31</v>
      </c>
      <c r="F1024" s="41" t="s">
        <v>1490</v>
      </c>
      <c r="G1024" s="41" t="s">
        <v>24</v>
      </c>
      <c r="H1024" s="42" t="s">
        <v>1497</v>
      </c>
    </row>
    <row r="1025" spans="2:8" ht="18" customHeight="1" x14ac:dyDescent="0.25">
      <c r="B1025" s="40">
        <f>SUBTOTAL(3,C$4:C1025)</f>
        <v>988</v>
      </c>
      <c r="C1025" s="41">
        <v>24232018</v>
      </c>
      <c r="D1025" s="41" t="s">
        <v>1498</v>
      </c>
      <c r="E1025" s="41" t="s">
        <v>31</v>
      </c>
      <c r="F1025" s="41" t="s">
        <v>1490</v>
      </c>
      <c r="G1025" s="41" t="s">
        <v>24</v>
      </c>
      <c r="H1025" s="42"/>
    </row>
    <row r="1026" spans="2:8" ht="18" customHeight="1" x14ac:dyDescent="0.25">
      <c r="B1026" s="40">
        <f>SUBTOTAL(3,C$4:C1026)</f>
        <v>989</v>
      </c>
      <c r="C1026" s="41">
        <v>24262068</v>
      </c>
      <c r="D1026" s="41" t="s">
        <v>1499</v>
      </c>
      <c r="E1026" s="41" t="s">
        <v>31</v>
      </c>
      <c r="F1026" s="41" t="s">
        <v>1490</v>
      </c>
      <c r="G1026" s="41" t="s">
        <v>24</v>
      </c>
      <c r="H1026" s="42"/>
    </row>
    <row r="1027" spans="2:8" ht="18" customHeight="1" x14ac:dyDescent="0.25">
      <c r="B1027" s="40">
        <f>SUBTOTAL(3,C$4:C1027)</f>
        <v>990</v>
      </c>
      <c r="C1027" s="41">
        <v>24032426</v>
      </c>
      <c r="D1027" s="41" t="s">
        <v>1500</v>
      </c>
      <c r="E1027" s="41" t="s">
        <v>31</v>
      </c>
      <c r="F1027" s="41" t="s">
        <v>1490</v>
      </c>
      <c r="G1027" s="41" t="s">
        <v>24</v>
      </c>
      <c r="H1027" s="42"/>
    </row>
    <row r="1028" spans="2:8" ht="18" customHeight="1" x14ac:dyDescent="0.25">
      <c r="B1028" s="40">
        <f>SUBTOTAL(3,C$4:C1028)</f>
        <v>991</v>
      </c>
      <c r="C1028" s="41">
        <v>24025318</v>
      </c>
      <c r="D1028" s="41" t="s">
        <v>1501</v>
      </c>
      <c r="E1028" s="41" t="s">
        <v>31</v>
      </c>
      <c r="F1028" s="41" t="s">
        <v>1490</v>
      </c>
      <c r="G1028" s="41" t="s">
        <v>24</v>
      </c>
      <c r="H1028" s="42" t="s">
        <v>1461</v>
      </c>
    </row>
    <row r="1029" spans="2:8" ht="18" customHeight="1" x14ac:dyDescent="0.25">
      <c r="B1029" s="40">
        <f>SUBTOTAL(3,C$4:C1029)</f>
        <v>992</v>
      </c>
      <c r="C1029" s="41">
        <v>24031889</v>
      </c>
      <c r="D1029" s="41" t="s">
        <v>1502</v>
      </c>
      <c r="E1029" s="41" t="s">
        <v>31</v>
      </c>
      <c r="F1029" s="41" t="s">
        <v>1490</v>
      </c>
      <c r="G1029" s="41" t="s">
        <v>24</v>
      </c>
      <c r="H1029" s="42" t="s">
        <v>1461</v>
      </c>
    </row>
    <row r="1030" spans="2:8" ht="18" customHeight="1" x14ac:dyDescent="0.25">
      <c r="B1030" s="40">
        <f>SUBTOTAL(3,C$4:C1030)</f>
        <v>993</v>
      </c>
      <c r="C1030" s="41">
        <v>24019989</v>
      </c>
      <c r="D1030" s="41" t="s">
        <v>1503</v>
      </c>
      <c r="E1030" s="41" t="s">
        <v>31</v>
      </c>
      <c r="F1030" s="41" t="s">
        <v>1490</v>
      </c>
      <c r="G1030" s="41" t="s">
        <v>24</v>
      </c>
      <c r="H1030" s="42"/>
    </row>
    <row r="1031" spans="2:8" ht="18" customHeight="1" x14ac:dyDescent="0.25">
      <c r="B1031" s="40">
        <f>SUBTOTAL(3,C$4:C1031)</f>
        <v>994</v>
      </c>
      <c r="C1031" s="41">
        <v>24029523</v>
      </c>
      <c r="D1031" s="41" t="s">
        <v>1504</v>
      </c>
      <c r="E1031" s="41" t="s">
        <v>31</v>
      </c>
      <c r="F1031" s="41" t="s">
        <v>1490</v>
      </c>
      <c r="G1031" s="41" t="s">
        <v>24</v>
      </c>
      <c r="H1031" s="42"/>
    </row>
    <row r="1032" spans="2:8" ht="18" customHeight="1" x14ac:dyDescent="0.25">
      <c r="B1032" s="40">
        <f>SUBTOTAL(3,C$4:C1032)</f>
        <v>995</v>
      </c>
      <c r="C1032" s="41">
        <v>24024055</v>
      </c>
      <c r="D1032" s="41" t="s">
        <v>1505</v>
      </c>
      <c r="E1032" s="41" t="s">
        <v>31</v>
      </c>
      <c r="F1032" s="41" t="s">
        <v>1490</v>
      </c>
      <c r="G1032" s="41" t="s">
        <v>24</v>
      </c>
      <c r="H1032" s="42"/>
    </row>
    <row r="1033" spans="2:8" ht="18" customHeight="1" x14ac:dyDescent="0.25">
      <c r="B1033" s="40">
        <f>SUBTOTAL(3,C$4:C1033)</f>
        <v>996</v>
      </c>
      <c r="C1033" s="41">
        <v>24031900</v>
      </c>
      <c r="D1033" s="41" t="s">
        <v>1506</v>
      </c>
      <c r="E1033" s="41" t="s">
        <v>31</v>
      </c>
      <c r="F1033" s="41" t="s">
        <v>1490</v>
      </c>
      <c r="G1033" s="41" t="s">
        <v>24</v>
      </c>
      <c r="H1033" s="42"/>
    </row>
    <row r="1034" spans="2:8" ht="18" customHeight="1" x14ac:dyDescent="0.25">
      <c r="B1034" s="40">
        <f>SUBTOTAL(3,C$4:C1034)</f>
        <v>997</v>
      </c>
      <c r="C1034" s="41">
        <v>24034671</v>
      </c>
      <c r="D1034" s="41" t="s">
        <v>1507</v>
      </c>
      <c r="E1034" s="41" t="s">
        <v>31</v>
      </c>
      <c r="F1034" s="41" t="s">
        <v>1490</v>
      </c>
      <c r="G1034" s="41" t="s">
        <v>24</v>
      </c>
      <c r="H1034" s="42" t="s">
        <v>1461</v>
      </c>
    </row>
    <row r="1035" spans="2:8" ht="18" customHeight="1" x14ac:dyDescent="0.25">
      <c r="B1035" s="40">
        <f>SUBTOTAL(3,C$4:C1035)</f>
        <v>998</v>
      </c>
      <c r="C1035" s="41">
        <v>24262300</v>
      </c>
      <c r="D1035" s="41" t="s">
        <v>1508</v>
      </c>
      <c r="E1035" s="41" t="s">
        <v>31</v>
      </c>
      <c r="F1035" s="41" t="s">
        <v>1490</v>
      </c>
      <c r="G1035" s="41" t="s">
        <v>24</v>
      </c>
      <c r="H1035" s="42"/>
    </row>
    <row r="1036" spans="2:8" ht="18" customHeight="1" x14ac:dyDescent="0.25">
      <c r="B1036" s="40">
        <f>SUBTOTAL(3,C$4:C1036)</f>
        <v>999</v>
      </c>
      <c r="C1036" s="41">
        <v>24032414</v>
      </c>
      <c r="D1036" s="41" t="s">
        <v>1510</v>
      </c>
      <c r="E1036" s="41" t="s">
        <v>31</v>
      </c>
      <c r="F1036" s="41" t="s">
        <v>1490</v>
      </c>
      <c r="G1036" s="41" t="s">
        <v>24</v>
      </c>
      <c r="H1036" s="42"/>
    </row>
    <row r="1037" spans="2:8" ht="18" customHeight="1" x14ac:dyDescent="0.25">
      <c r="B1037" s="40">
        <f>SUBTOTAL(3,C$4:C1037)</f>
        <v>1000</v>
      </c>
      <c r="C1037" s="41">
        <v>24025220</v>
      </c>
      <c r="D1037" s="41" t="s">
        <v>1509</v>
      </c>
      <c r="E1037" s="41" t="s">
        <v>31</v>
      </c>
      <c r="F1037" s="41" t="s">
        <v>1490</v>
      </c>
      <c r="G1037" s="41" t="s">
        <v>24</v>
      </c>
      <c r="H1037" s="42"/>
    </row>
    <row r="1038" spans="2:8" ht="18" customHeight="1" x14ac:dyDescent="0.25">
      <c r="B1038" s="40">
        <f>SUBTOTAL(3,C$4:C1038)</f>
        <v>1001</v>
      </c>
      <c r="C1038" s="41">
        <v>24030465</v>
      </c>
      <c r="D1038" s="41" t="s">
        <v>1511</v>
      </c>
      <c r="E1038" s="41" t="s">
        <v>31</v>
      </c>
      <c r="F1038" s="41" t="s">
        <v>1490</v>
      </c>
      <c r="G1038" s="41" t="s">
        <v>24</v>
      </c>
      <c r="H1038" s="42"/>
    </row>
    <row r="1039" spans="2:8" ht="18" customHeight="1" x14ac:dyDescent="0.25">
      <c r="B1039" s="40">
        <f>SUBTOTAL(3,C$4:C1039)</f>
        <v>1002</v>
      </c>
      <c r="C1039" s="41">
        <v>24037215</v>
      </c>
      <c r="D1039" s="41" t="s">
        <v>1512</v>
      </c>
      <c r="E1039" s="41" t="s">
        <v>31</v>
      </c>
      <c r="F1039" s="41" t="s">
        <v>1490</v>
      </c>
      <c r="G1039" s="41" t="s">
        <v>24</v>
      </c>
      <c r="H1039" s="42"/>
    </row>
    <row r="1040" spans="2:8" ht="18" customHeight="1" x14ac:dyDescent="0.25">
      <c r="B1040" s="40">
        <f>SUBTOTAL(3,C$4:C1040)</f>
        <v>1003</v>
      </c>
      <c r="C1040" s="41">
        <v>24031817</v>
      </c>
      <c r="D1040" s="41" t="s">
        <v>1513</v>
      </c>
      <c r="E1040" s="41" t="s">
        <v>31</v>
      </c>
      <c r="F1040" s="41" t="s">
        <v>1490</v>
      </c>
      <c r="G1040" s="41" t="s">
        <v>24</v>
      </c>
      <c r="H1040" s="42" t="s">
        <v>1461</v>
      </c>
    </row>
    <row r="1041" spans="2:8" ht="18" customHeight="1" x14ac:dyDescent="0.25">
      <c r="B1041" s="40">
        <f>SUBTOTAL(3,C$4:C1041)</f>
        <v>1004</v>
      </c>
      <c r="C1041" s="41">
        <v>24035214</v>
      </c>
      <c r="D1041" s="41" t="s">
        <v>1514</v>
      </c>
      <c r="E1041" s="41" t="s">
        <v>31</v>
      </c>
      <c r="F1041" s="41" t="s">
        <v>1490</v>
      </c>
      <c r="G1041" s="41" t="s">
        <v>24</v>
      </c>
      <c r="H1041" s="42"/>
    </row>
    <row r="1042" spans="2:8" ht="18" customHeight="1" x14ac:dyDescent="0.25">
      <c r="B1042" s="40">
        <f>SUBTOTAL(3,C$4:C1042)</f>
        <v>1005</v>
      </c>
      <c r="C1042" s="41">
        <v>24168767</v>
      </c>
      <c r="D1042" s="41" t="s">
        <v>1518</v>
      </c>
      <c r="E1042" s="41" t="s">
        <v>31</v>
      </c>
      <c r="F1042" s="41" t="s">
        <v>1490</v>
      </c>
      <c r="G1042" s="41" t="s">
        <v>24</v>
      </c>
      <c r="H1042" s="42"/>
    </row>
    <row r="1043" spans="2:8" ht="18" customHeight="1" x14ac:dyDescent="0.25">
      <c r="B1043" s="40">
        <f>SUBTOTAL(3,C$4:C1043)</f>
        <v>1006</v>
      </c>
      <c r="C1043" s="41">
        <v>24037289</v>
      </c>
      <c r="D1043" s="41" t="s">
        <v>1519</v>
      </c>
      <c r="E1043" s="41" t="s">
        <v>31</v>
      </c>
      <c r="F1043" s="41" t="s">
        <v>1490</v>
      </c>
      <c r="G1043" s="41" t="s">
        <v>24</v>
      </c>
      <c r="H1043" s="42"/>
    </row>
    <row r="1044" spans="2:8" ht="18" customHeight="1" x14ac:dyDescent="0.25">
      <c r="B1044" s="40">
        <f>SUBTOTAL(3,C$4:C1044)</f>
        <v>1007</v>
      </c>
      <c r="C1044" s="41">
        <v>24249260</v>
      </c>
      <c r="D1044" s="41" t="s">
        <v>1520</v>
      </c>
      <c r="E1044" s="41" t="s">
        <v>31</v>
      </c>
      <c r="F1044" s="41" t="s">
        <v>1490</v>
      </c>
      <c r="G1044" s="41" t="s">
        <v>24</v>
      </c>
      <c r="H1044" s="42"/>
    </row>
    <row r="1045" spans="2:8" ht="18" customHeight="1" x14ac:dyDescent="0.25">
      <c r="B1045" s="40">
        <f>SUBTOTAL(3,C$4:C1045)</f>
        <v>1008</v>
      </c>
      <c r="C1045" s="41">
        <v>24022875</v>
      </c>
      <c r="D1045" s="41" t="s">
        <v>1521</v>
      </c>
      <c r="E1045" s="41" t="s">
        <v>31</v>
      </c>
      <c r="F1045" s="41" t="s">
        <v>1490</v>
      </c>
      <c r="G1045" s="41" t="s">
        <v>24</v>
      </c>
      <c r="H1045" s="42"/>
    </row>
    <row r="1046" spans="2:8" ht="18" customHeight="1" x14ac:dyDescent="0.25">
      <c r="B1046" s="40">
        <f>SUBTOTAL(3,C$4:C1046)</f>
        <v>1009</v>
      </c>
      <c r="C1046" s="41">
        <v>24036662</v>
      </c>
      <c r="D1046" s="41" t="s">
        <v>1743</v>
      </c>
      <c r="E1046" s="41" t="s">
        <v>31</v>
      </c>
      <c r="F1046" s="41" t="s">
        <v>1490</v>
      </c>
      <c r="G1046" s="41" t="s">
        <v>24</v>
      </c>
      <c r="H1046" s="42" t="s">
        <v>1461</v>
      </c>
    </row>
    <row r="1047" spans="2:8" ht="18" customHeight="1" x14ac:dyDescent="0.25">
      <c r="B1047" s="40">
        <f>SUBTOTAL(3,C$4:C1047)</f>
        <v>1010</v>
      </c>
      <c r="C1047" s="41">
        <v>24294209</v>
      </c>
      <c r="D1047" s="41" t="s">
        <v>1522</v>
      </c>
      <c r="E1047" s="41" t="s">
        <v>31</v>
      </c>
      <c r="F1047" s="41" t="s">
        <v>1490</v>
      </c>
      <c r="G1047" s="41" t="s">
        <v>24</v>
      </c>
      <c r="H1047" s="42"/>
    </row>
    <row r="1048" spans="2:8" ht="18" customHeight="1" x14ac:dyDescent="0.25">
      <c r="B1048" s="40">
        <f>SUBTOTAL(3,C$4:C1048)</f>
        <v>1011</v>
      </c>
      <c r="C1048" s="41">
        <v>24026364</v>
      </c>
      <c r="D1048" s="41" t="s">
        <v>1523</v>
      </c>
      <c r="E1048" s="41" t="s">
        <v>31</v>
      </c>
      <c r="F1048" s="41" t="s">
        <v>1490</v>
      </c>
      <c r="G1048" s="41" t="s">
        <v>24</v>
      </c>
      <c r="H1048" s="42"/>
    </row>
    <row r="1049" spans="2:8" ht="18" customHeight="1" x14ac:dyDescent="0.25">
      <c r="B1049" s="40">
        <f>SUBTOTAL(3,C$4:C1049)</f>
        <v>1012</v>
      </c>
      <c r="C1049" s="41">
        <v>24275588</v>
      </c>
      <c r="D1049" s="41" t="s">
        <v>1524</v>
      </c>
      <c r="E1049" s="41" t="s">
        <v>31</v>
      </c>
      <c r="F1049" s="41" t="s">
        <v>1490</v>
      </c>
      <c r="G1049" s="41" t="s">
        <v>24</v>
      </c>
      <c r="H1049" s="42"/>
    </row>
    <row r="1050" spans="2:8" ht="18" customHeight="1" x14ac:dyDescent="0.25">
      <c r="B1050" s="40">
        <f>SUBTOTAL(3,C$4:C1050)</f>
        <v>1013</v>
      </c>
      <c r="C1050" s="41">
        <v>24250703</v>
      </c>
      <c r="D1050" s="41" t="s">
        <v>1525</v>
      </c>
      <c r="E1050" s="41" t="s">
        <v>31</v>
      </c>
      <c r="F1050" s="41" t="s">
        <v>1490</v>
      </c>
      <c r="G1050" s="41" t="s">
        <v>24</v>
      </c>
      <c r="H1050" s="42"/>
    </row>
    <row r="1051" spans="2:8" ht="18" customHeight="1" x14ac:dyDescent="0.25">
      <c r="B1051" s="40">
        <f>SUBTOTAL(3,C$4:C1051)</f>
        <v>1014</v>
      </c>
      <c r="C1051" s="41">
        <v>24024501</v>
      </c>
      <c r="D1051" s="41" t="s">
        <v>1526</v>
      </c>
      <c r="E1051" s="41" t="s">
        <v>31</v>
      </c>
      <c r="F1051" s="41" t="s">
        <v>1490</v>
      </c>
      <c r="G1051" s="41" t="s">
        <v>24</v>
      </c>
      <c r="H1051" s="42"/>
    </row>
    <row r="1052" spans="2:8" ht="18" customHeight="1" x14ac:dyDescent="0.25">
      <c r="B1052" s="40">
        <f>SUBTOTAL(3,C$4:C1052)</f>
        <v>1015</v>
      </c>
      <c r="C1052" s="41">
        <v>24030101</v>
      </c>
      <c r="D1052" s="41" t="s">
        <v>609</v>
      </c>
      <c r="E1052" s="41" t="s">
        <v>31</v>
      </c>
      <c r="F1052" s="41" t="s">
        <v>1490</v>
      </c>
      <c r="G1052" s="41" t="s">
        <v>24</v>
      </c>
      <c r="H1052" s="42"/>
    </row>
    <row r="1053" spans="2:8" ht="18" customHeight="1" x14ac:dyDescent="0.25">
      <c r="B1053" s="40">
        <f>SUBTOTAL(3,C$4:C1053)</f>
        <v>1016</v>
      </c>
      <c r="C1053" s="41">
        <v>24038500</v>
      </c>
      <c r="D1053" s="41" t="s">
        <v>1527</v>
      </c>
      <c r="E1053" s="41" t="s">
        <v>31</v>
      </c>
      <c r="F1053" s="41" t="s">
        <v>1490</v>
      </c>
      <c r="G1053" s="41" t="s">
        <v>24</v>
      </c>
      <c r="H1053" s="42"/>
    </row>
    <row r="1054" spans="2:8" ht="18" customHeight="1" x14ac:dyDescent="0.25">
      <c r="B1054" s="40">
        <f>SUBTOTAL(3,C$4:C1054)</f>
        <v>1017</v>
      </c>
      <c r="C1054" s="41">
        <v>24020828</v>
      </c>
      <c r="D1054" s="41" t="s">
        <v>1528</v>
      </c>
      <c r="E1054" s="41" t="s">
        <v>31</v>
      </c>
      <c r="F1054" s="41" t="s">
        <v>1490</v>
      </c>
      <c r="G1054" s="41" t="s">
        <v>24</v>
      </c>
      <c r="H1054" s="42"/>
    </row>
    <row r="1055" spans="2:8" ht="18" customHeight="1" x14ac:dyDescent="0.25">
      <c r="B1055" s="40">
        <f>SUBTOTAL(3,C$4:C1055)</f>
        <v>1018</v>
      </c>
      <c r="C1055" s="41">
        <v>24035158</v>
      </c>
      <c r="D1055" s="41" t="s">
        <v>1529</v>
      </c>
      <c r="E1055" s="41" t="s">
        <v>31</v>
      </c>
      <c r="F1055" s="41" t="s">
        <v>1490</v>
      </c>
      <c r="G1055" s="41" t="s">
        <v>24</v>
      </c>
      <c r="H1055" s="42"/>
    </row>
    <row r="1056" spans="2:8" ht="18" customHeight="1" x14ac:dyDescent="0.25">
      <c r="B1056" s="40">
        <f>SUBTOTAL(3,C$4:C1056)</f>
        <v>1019</v>
      </c>
      <c r="C1056" s="41">
        <v>24035185</v>
      </c>
      <c r="D1056" s="41" t="s">
        <v>1530</v>
      </c>
      <c r="E1056" s="41" t="s">
        <v>31</v>
      </c>
      <c r="F1056" s="41" t="s">
        <v>1490</v>
      </c>
      <c r="G1056" s="41" t="s">
        <v>24</v>
      </c>
      <c r="H1056" s="42"/>
    </row>
    <row r="1057" spans="2:8" ht="18" customHeight="1" x14ac:dyDescent="0.25">
      <c r="B1057" s="40">
        <f>SUBTOTAL(3,C$4:C1057)</f>
        <v>1020</v>
      </c>
      <c r="C1057" s="41">
        <v>24022314</v>
      </c>
      <c r="D1057" s="41" t="s">
        <v>1531</v>
      </c>
      <c r="E1057" s="41" t="s">
        <v>31</v>
      </c>
      <c r="F1057" s="41" t="s">
        <v>1490</v>
      </c>
      <c r="G1057" s="41" t="s">
        <v>24</v>
      </c>
      <c r="H1057" s="42"/>
    </row>
    <row r="1058" spans="2:8" ht="18" customHeight="1" x14ac:dyDescent="0.25">
      <c r="B1058" s="40">
        <f>SUBTOTAL(3,C$4:C1058)</f>
        <v>1021</v>
      </c>
      <c r="C1058" s="41">
        <v>24023374</v>
      </c>
      <c r="D1058" s="41" t="s">
        <v>1532</v>
      </c>
      <c r="E1058" s="41" t="s">
        <v>31</v>
      </c>
      <c r="F1058" s="41" t="s">
        <v>1490</v>
      </c>
      <c r="G1058" s="41" t="s">
        <v>24</v>
      </c>
      <c r="H1058" s="42"/>
    </row>
    <row r="1059" spans="2:8" ht="18" customHeight="1" x14ac:dyDescent="0.25">
      <c r="B1059" s="40">
        <f>SUBTOTAL(3,C$4:C1059)</f>
        <v>1022</v>
      </c>
      <c r="C1059" s="41">
        <v>24324040</v>
      </c>
      <c r="D1059" s="41" t="s">
        <v>1533</v>
      </c>
      <c r="E1059" s="41" t="s">
        <v>31</v>
      </c>
      <c r="F1059" s="41" t="s">
        <v>1490</v>
      </c>
      <c r="G1059" s="41" t="s">
        <v>24</v>
      </c>
      <c r="H1059" s="42"/>
    </row>
    <row r="1060" spans="2:8" ht="18" customHeight="1" x14ac:dyDescent="0.25">
      <c r="B1060" s="40">
        <f>SUBTOTAL(3,C$4:C1060)</f>
        <v>1023</v>
      </c>
      <c r="C1060" s="41">
        <v>24226011</v>
      </c>
      <c r="D1060" s="41" t="s">
        <v>1534</v>
      </c>
      <c r="E1060" s="41" t="s">
        <v>31</v>
      </c>
      <c r="F1060" s="41" t="s">
        <v>1490</v>
      </c>
      <c r="G1060" s="41" t="s">
        <v>24</v>
      </c>
      <c r="H1060" s="42"/>
    </row>
    <row r="1061" spans="2:8" ht="18" customHeight="1" x14ac:dyDescent="0.25">
      <c r="B1061" s="40">
        <f>SUBTOTAL(3,C$4:C1061)</f>
        <v>1024</v>
      </c>
      <c r="C1061" s="41">
        <v>24031977</v>
      </c>
      <c r="D1061" s="41" t="s">
        <v>1535</v>
      </c>
      <c r="E1061" s="41" t="s">
        <v>31</v>
      </c>
      <c r="F1061" s="41" t="s">
        <v>1490</v>
      </c>
      <c r="G1061" s="41" t="s">
        <v>24</v>
      </c>
      <c r="H1061" s="42"/>
    </row>
    <row r="1062" spans="2:8" ht="18" customHeight="1" x14ac:dyDescent="0.25">
      <c r="B1062" s="40">
        <f>SUBTOTAL(3,C$4:C1062)</f>
        <v>1025</v>
      </c>
      <c r="C1062" s="41">
        <v>24025453</v>
      </c>
      <c r="D1062" s="41" t="s">
        <v>1536</v>
      </c>
      <c r="E1062" s="41" t="s">
        <v>31</v>
      </c>
      <c r="F1062" s="41" t="s">
        <v>1490</v>
      </c>
      <c r="G1062" s="41" t="s">
        <v>24</v>
      </c>
      <c r="H1062" s="42" t="s">
        <v>1537</v>
      </c>
    </row>
    <row r="1063" spans="2:8" ht="18" customHeight="1" x14ac:dyDescent="0.25">
      <c r="B1063" s="40">
        <f>SUBTOTAL(3,C$4:C1063)</f>
        <v>1026</v>
      </c>
      <c r="C1063" s="41">
        <v>24036459</v>
      </c>
      <c r="D1063" s="41" t="s">
        <v>1711</v>
      </c>
      <c r="E1063" s="41" t="s">
        <v>31</v>
      </c>
      <c r="F1063" s="41" t="s">
        <v>1490</v>
      </c>
      <c r="G1063" s="41" t="s">
        <v>24</v>
      </c>
      <c r="H1063" s="42"/>
    </row>
    <row r="1064" spans="2:8" ht="18" customHeight="1" x14ac:dyDescent="0.25">
      <c r="B1064" s="40">
        <f>SUBTOTAL(3,C$4:C1064)</f>
        <v>1027</v>
      </c>
      <c r="C1064" s="41">
        <v>24220049</v>
      </c>
      <c r="D1064" s="41" t="s">
        <v>1538</v>
      </c>
      <c r="E1064" s="41" t="s">
        <v>31</v>
      </c>
      <c r="F1064" s="41" t="s">
        <v>1490</v>
      </c>
      <c r="G1064" s="41" t="s">
        <v>24</v>
      </c>
      <c r="H1064" s="42" t="s">
        <v>201</v>
      </c>
    </row>
    <row r="1065" spans="2:8" ht="18" customHeight="1" x14ac:dyDescent="0.25">
      <c r="B1065" s="40">
        <f>SUBTOTAL(3,C$4:C1065)</f>
        <v>1028</v>
      </c>
      <c r="C1065" s="41">
        <v>24027778</v>
      </c>
      <c r="D1065" s="41" t="s">
        <v>1539</v>
      </c>
      <c r="E1065" s="41" t="s">
        <v>31</v>
      </c>
      <c r="F1065" s="41" t="s">
        <v>1490</v>
      </c>
      <c r="G1065" s="41" t="s">
        <v>24</v>
      </c>
      <c r="H1065" s="42"/>
    </row>
    <row r="1066" spans="2:8" ht="18" customHeight="1" x14ac:dyDescent="0.25">
      <c r="B1066" s="40">
        <f>SUBTOTAL(3,C$4:C1066)</f>
        <v>1029</v>
      </c>
      <c r="C1066" s="41">
        <v>24027514</v>
      </c>
      <c r="D1066" s="41" t="s">
        <v>1540</v>
      </c>
      <c r="E1066" s="41" t="s">
        <v>31</v>
      </c>
      <c r="F1066" s="41" t="s">
        <v>1490</v>
      </c>
      <c r="G1066" s="41" t="s">
        <v>24</v>
      </c>
      <c r="H1066" s="42"/>
    </row>
    <row r="1067" spans="2:8" ht="18" customHeight="1" x14ac:dyDescent="0.25">
      <c r="B1067" s="40">
        <f>SUBTOTAL(3,C$4:C1067)</f>
        <v>1030</v>
      </c>
      <c r="C1067" s="41">
        <v>24302284</v>
      </c>
      <c r="D1067" s="41" t="s">
        <v>1541</v>
      </c>
      <c r="E1067" s="41" t="s">
        <v>31</v>
      </c>
      <c r="F1067" s="41" t="s">
        <v>1490</v>
      </c>
      <c r="G1067" s="41" t="s">
        <v>24</v>
      </c>
      <c r="H1067" s="42"/>
    </row>
    <row r="1068" spans="2:8" ht="18" customHeight="1" x14ac:dyDescent="0.25">
      <c r="B1068" s="40">
        <f>SUBTOTAL(3,C$4:C1068)</f>
        <v>1031</v>
      </c>
      <c r="C1068" s="41">
        <v>24033268</v>
      </c>
      <c r="D1068" s="41" t="s">
        <v>1542</v>
      </c>
      <c r="E1068" s="41" t="s">
        <v>31</v>
      </c>
      <c r="F1068" s="41" t="s">
        <v>1490</v>
      </c>
      <c r="G1068" s="41" t="s">
        <v>24</v>
      </c>
      <c r="H1068" s="42"/>
    </row>
    <row r="1069" spans="2:8" ht="18" customHeight="1" x14ac:dyDescent="0.25">
      <c r="B1069" s="40">
        <f>SUBTOTAL(3,C$4:C1069)</f>
        <v>1032</v>
      </c>
      <c r="C1069" s="41">
        <v>24036465</v>
      </c>
      <c r="D1069" s="41" t="s">
        <v>1543</v>
      </c>
      <c r="E1069" s="41" t="s">
        <v>31</v>
      </c>
      <c r="F1069" s="41" t="s">
        <v>1490</v>
      </c>
      <c r="G1069" s="41" t="s">
        <v>24</v>
      </c>
      <c r="H1069" s="42"/>
    </row>
    <row r="1070" spans="2:8" ht="18" customHeight="1" x14ac:dyDescent="0.25">
      <c r="B1070" s="40">
        <f>SUBTOTAL(3,C$4:C1070)</f>
        <v>1033</v>
      </c>
      <c r="C1070" s="41">
        <v>24030711</v>
      </c>
      <c r="D1070" s="41" t="s">
        <v>1544</v>
      </c>
      <c r="E1070" s="41" t="s">
        <v>31</v>
      </c>
      <c r="F1070" s="41" t="s">
        <v>1490</v>
      </c>
      <c r="G1070" s="41" t="s">
        <v>24</v>
      </c>
      <c r="H1070" s="42"/>
    </row>
    <row r="1071" spans="2:8" ht="18" customHeight="1" x14ac:dyDescent="0.25">
      <c r="B1071" s="40">
        <f>SUBTOTAL(3,C$4:C1071)</f>
        <v>1034</v>
      </c>
      <c r="C1071" s="41">
        <v>24267938</v>
      </c>
      <c r="D1071" s="41" t="s">
        <v>1545</v>
      </c>
      <c r="E1071" s="41" t="s">
        <v>31</v>
      </c>
      <c r="F1071" s="41" t="s">
        <v>1490</v>
      </c>
      <c r="G1071" s="41" t="s">
        <v>24</v>
      </c>
      <c r="H1071" s="42" t="s">
        <v>1546</v>
      </c>
    </row>
    <row r="1072" spans="2:8" ht="18" customHeight="1" x14ac:dyDescent="0.25">
      <c r="B1072" s="40">
        <f>SUBTOTAL(3,C$4:C1072)</f>
        <v>1035</v>
      </c>
      <c r="C1072" s="41">
        <v>24033490</v>
      </c>
      <c r="D1072" s="41" t="s">
        <v>1547</v>
      </c>
      <c r="E1072" s="41" t="s">
        <v>31</v>
      </c>
      <c r="F1072" s="41" t="s">
        <v>1490</v>
      </c>
      <c r="G1072" s="41" t="s">
        <v>24</v>
      </c>
      <c r="H1072" s="42"/>
    </row>
    <row r="1073" spans="2:8" ht="18" customHeight="1" x14ac:dyDescent="0.25">
      <c r="B1073" s="40">
        <f>SUBTOTAL(3,C$4:C1073)</f>
        <v>1036</v>
      </c>
      <c r="C1073" s="41">
        <v>24225362</v>
      </c>
      <c r="D1073" s="41" t="s">
        <v>1549</v>
      </c>
      <c r="E1073" s="41" t="s">
        <v>31</v>
      </c>
      <c r="F1073" s="41" t="s">
        <v>1490</v>
      </c>
      <c r="G1073" s="41" t="s">
        <v>24</v>
      </c>
      <c r="H1073" s="42"/>
    </row>
    <row r="1074" spans="2:8" ht="18" customHeight="1" x14ac:dyDescent="0.25">
      <c r="B1074" s="40">
        <f>SUBTOTAL(3,C$4:C1074)</f>
        <v>1037</v>
      </c>
      <c r="C1074" s="41">
        <v>24024996</v>
      </c>
      <c r="D1074" s="41" t="s">
        <v>1550</v>
      </c>
      <c r="E1074" s="41" t="s">
        <v>31</v>
      </c>
      <c r="F1074" s="41" t="s">
        <v>1490</v>
      </c>
      <c r="G1074" s="41" t="s">
        <v>24</v>
      </c>
      <c r="H1074" s="42"/>
    </row>
    <row r="1075" spans="2:8" ht="18" customHeight="1" x14ac:dyDescent="0.25">
      <c r="B1075" s="40">
        <f>SUBTOTAL(3,C$4:C1075)</f>
        <v>1038</v>
      </c>
      <c r="C1075" s="41">
        <v>24023201</v>
      </c>
      <c r="D1075" s="41" t="s">
        <v>1551</v>
      </c>
      <c r="E1075" s="41" t="s">
        <v>31</v>
      </c>
      <c r="F1075" s="41" t="s">
        <v>1490</v>
      </c>
      <c r="G1075" s="41" t="s">
        <v>24</v>
      </c>
      <c r="H1075" s="42"/>
    </row>
    <row r="1076" spans="2:8" ht="18" customHeight="1" x14ac:dyDescent="0.25">
      <c r="B1076" s="40">
        <f>SUBTOTAL(3,C$4:C1076)</f>
        <v>1039</v>
      </c>
      <c r="C1076" s="41">
        <v>24024980</v>
      </c>
      <c r="D1076" s="41" t="s">
        <v>1552</v>
      </c>
      <c r="E1076" s="41" t="s">
        <v>31</v>
      </c>
      <c r="F1076" s="41" t="s">
        <v>1490</v>
      </c>
      <c r="G1076" s="41" t="s">
        <v>24</v>
      </c>
      <c r="H1076" s="42"/>
    </row>
    <row r="1077" spans="2:8" ht="18" customHeight="1" x14ac:dyDescent="0.25">
      <c r="B1077" s="40">
        <f>SUBTOTAL(3,C$4:C1077)</f>
        <v>1040</v>
      </c>
      <c r="C1077" s="41">
        <v>24026853</v>
      </c>
      <c r="D1077" s="41" t="s">
        <v>1553</v>
      </c>
      <c r="E1077" s="41" t="s">
        <v>31</v>
      </c>
      <c r="F1077" s="41" t="s">
        <v>1516</v>
      </c>
      <c r="G1077" s="41" t="s">
        <v>24</v>
      </c>
      <c r="H1077" s="42"/>
    </row>
    <row r="1078" spans="2:8" ht="18" customHeight="1" x14ac:dyDescent="0.25">
      <c r="B1078" s="40">
        <f>SUBTOTAL(3,C$4:C1078)</f>
        <v>1041</v>
      </c>
      <c r="C1078" s="41">
        <v>24036785</v>
      </c>
      <c r="D1078" s="41" t="s">
        <v>1554</v>
      </c>
      <c r="E1078" s="41" t="s">
        <v>31</v>
      </c>
      <c r="F1078" s="41" t="s">
        <v>1516</v>
      </c>
      <c r="G1078" s="41" t="s">
        <v>24</v>
      </c>
      <c r="H1078" s="42"/>
    </row>
    <row r="1079" spans="2:8" ht="18" customHeight="1" x14ac:dyDescent="0.25">
      <c r="B1079" s="40">
        <f>SUBTOTAL(3,C$4:C1079)</f>
        <v>1042</v>
      </c>
      <c r="C1079" s="41">
        <v>24023956</v>
      </c>
      <c r="D1079" s="41" t="s">
        <v>1555</v>
      </c>
      <c r="E1079" s="41" t="s">
        <v>31</v>
      </c>
      <c r="F1079" s="41" t="s">
        <v>1516</v>
      </c>
      <c r="G1079" s="41" t="s">
        <v>24</v>
      </c>
      <c r="H1079" s="42" t="s">
        <v>1491</v>
      </c>
    </row>
    <row r="1080" spans="2:8" ht="18" customHeight="1" x14ac:dyDescent="0.25">
      <c r="B1080" s="40">
        <f>SUBTOTAL(3,C$4:C1080)</f>
        <v>1043</v>
      </c>
      <c r="C1080" s="41">
        <v>24033287</v>
      </c>
      <c r="D1080" s="41" t="s">
        <v>1556</v>
      </c>
      <c r="E1080" s="41" t="s">
        <v>31</v>
      </c>
      <c r="F1080" s="41" t="s">
        <v>1516</v>
      </c>
      <c r="G1080" s="41" t="s">
        <v>24</v>
      </c>
      <c r="H1080" s="42"/>
    </row>
    <row r="1081" spans="2:8" ht="18" customHeight="1" x14ac:dyDescent="0.25">
      <c r="B1081" s="40">
        <f>SUBTOTAL(3,C$4:C1081)</f>
        <v>1044</v>
      </c>
      <c r="C1081" s="41">
        <v>24022691</v>
      </c>
      <c r="D1081" s="41" t="s">
        <v>1557</v>
      </c>
      <c r="E1081" s="41" t="s">
        <v>31</v>
      </c>
      <c r="F1081" s="41" t="s">
        <v>1516</v>
      </c>
      <c r="G1081" s="41" t="s">
        <v>24</v>
      </c>
      <c r="H1081" s="42"/>
    </row>
    <row r="1082" spans="2:8" ht="18" customHeight="1" x14ac:dyDescent="0.25">
      <c r="B1082" s="40">
        <f>SUBTOTAL(3,C$4:C1082)</f>
        <v>1045</v>
      </c>
      <c r="C1082" s="41">
        <v>24040071</v>
      </c>
      <c r="D1082" s="41" t="s">
        <v>1558</v>
      </c>
      <c r="E1082" s="41" t="s">
        <v>31</v>
      </c>
      <c r="F1082" s="41" t="s">
        <v>1516</v>
      </c>
      <c r="G1082" s="41" t="s">
        <v>24</v>
      </c>
      <c r="H1082" s="42"/>
    </row>
    <row r="1083" spans="2:8" ht="18" customHeight="1" x14ac:dyDescent="0.25">
      <c r="B1083" s="40">
        <f>SUBTOTAL(3,C$4:C1083)</f>
        <v>1046</v>
      </c>
      <c r="C1083" s="41">
        <v>24022405</v>
      </c>
      <c r="D1083" s="41" t="s">
        <v>1559</v>
      </c>
      <c r="E1083" s="41" t="s">
        <v>31</v>
      </c>
      <c r="F1083" s="41" t="s">
        <v>1516</v>
      </c>
      <c r="G1083" s="41" t="s">
        <v>24</v>
      </c>
      <c r="H1083" s="42"/>
    </row>
    <row r="1084" spans="2:8" ht="18" customHeight="1" x14ac:dyDescent="0.25">
      <c r="B1084" s="40">
        <f>SUBTOTAL(3,C$4:C1084)</f>
        <v>1047</v>
      </c>
      <c r="C1084" s="41">
        <v>24026942</v>
      </c>
      <c r="D1084" s="41" t="s">
        <v>1560</v>
      </c>
      <c r="E1084" s="41" t="s">
        <v>31</v>
      </c>
      <c r="F1084" s="41" t="s">
        <v>1516</v>
      </c>
      <c r="G1084" s="41" t="s">
        <v>24</v>
      </c>
      <c r="H1084" s="42"/>
    </row>
    <row r="1085" spans="2:8" ht="18" customHeight="1" x14ac:dyDescent="0.25">
      <c r="B1085" s="40">
        <f>SUBTOTAL(3,C$4:C1085)</f>
        <v>1048</v>
      </c>
      <c r="C1085" s="41">
        <v>24021848</v>
      </c>
      <c r="D1085" s="41" t="s">
        <v>1561</v>
      </c>
      <c r="E1085" s="41" t="s">
        <v>31</v>
      </c>
      <c r="F1085" s="41" t="s">
        <v>1516</v>
      </c>
      <c r="G1085" s="41" t="s">
        <v>24</v>
      </c>
      <c r="H1085" s="42"/>
    </row>
    <row r="1086" spans="2:8" ht="18" customHeight="1" x14ac:dyDescent="0.25">
      <c r="B1086" s="40">
        <f>SUBTOTAL(3,C$4:C1086)</f>
        <v>1049</v>
      </c>
      <c r="C1086" s="41">
        <v>24023100</v>
      </c>
      <c r="D1086" s="41" t="s">
        <v>1562</v>
      </c>
      <c r="E1086" s="41" t="s">
        <v>31</v>
      </c>
      <c r="F1086" s="41" t="s">
        <v>1516</v>
      </c>
      <c r="G1086" s="41" t="s">
        <v>24</v>
      </c>
      <c r="H1086" s="42"/>
    </row>
    <row r="1087" spans="2:8" ht="18" customHeight="1" x14ac:dyDescent="0.25">
      <c r="B1087" s="40">
        <f>SUBTOTAL(3,C$4:C1087)</f>
        <v>1050</v>
      </c>
      <c r="C1087" s="41">
        <v>24039138</v>
      </c>
      <c r="D1087" s="41" t="s">
        <v>1563</v>
      </c>
      <c r="E1087" s="41" t="s">
        <v>31</v>
      </c>
      <c r="F1087" s="41" t="s">
        <v>1516</v>
      </c>
      <c r="G1087" s="41" t="s">
        <v>24</v>
      </c>
      <c r="H1087" s="42"/>
    </row>
    <row r="1088" spans="2:8" ht="18" customHeight="1" x14ac:dyDescent="0.25">
      <c r="B1088" s="40">
        <f>SUBTOTAL(3,C$4:C1088)</f>
        <v>1051</v>
      </c>
      <c r="C1088" s="41">
        <v>24294289</v>
      </c>
      <c r="D1088" s="41" t="s">
        <v>1564</v>
      </c>
      <c r="E1088" s="41" t="s">
        <v>31</v>
      </c>
      <c r="F1088" s="41" t="s">
        <v>1516</v>
      </c>
      <c r="G1088" s="41" t="s">
        <v>24</v>
      </c>
      <c r="H1088" s="42"/>
    </row>
    <row r="1089" spans="2:8" ht="18" customHeight="1" x14ac:dyDescent="0.25">
      <c r="B1089" s="40">
        <f>SUBTOTAL(3,C$4:C1089)</f>
        <v>1052</v>
      </c>
      <c r="C1089" s="41">
        <v>24035250</v>
      </c>
      <c r="D1089" s="41" t="s">
        <v>1565</v>
      </c>
      <c r="E1089" s="41" t="s">
        <v>31</v>
      </c>
      <c r="F1089" s="41" t="s">
        <v>1516</v>
      </c>
      <c r="G1089" s="41" t="s">
        <v>24</v>
      </c>
      <c r="H1089" s="42"/>
    </row>
    <row r="1090" spans="2:8" ht="18" customHeight="1" x14ac:dyDescent="0.25">
      <c r="B1090" s="40">
        <f>SUBTOTAL(3,C$4:C1090)</f>
        <v>1053</v>
      </c>
      <c r="C1090" s="41">
        <v>24027068</v>
      </c>
      <c r="D1090" s="41" t="s">
        <v>1566</v>
      </c>
      <c r="E1090" s="41" t="s">
        <v>31</v>
      </c>
      <c r="F1090" s="41" t="s">
        <v>1516</v>
      </c>
      <c r="G1090" s="41" t="s">
        <v>24</v>
      </c>
      <c r="H1090" s="42"/>
    </row>
    <row r="1091" spans="2:8" ht="18" customHeight="1" x14ac:dyDescent="0.25">
      <c r="B1091" s="40">
        <f>SUBTOTAL(3,C$4:C1091)</f>
        <v>1054</v>
      </c>
      <c r="C1091" s="41">
        <v>24033736</v>
      </c>
      <c r="D1091" s="41" t="s">
        <v>1567</v>
      </c>
      <c r="E1091" s="41" t="s">
        <v>31</v>
      </c>
      <c r="F1091" s="41" t="s">
        <v>1516</v>
      </c>
      <c r="G1091" s="41" t="s">
        <v>24</v>
      </c>
      <c r="H1091" s="42"/>
    </row>
    <row r="1092" spans="2:8" ht="18" customHeight="1" x14ac:dyDescent="0.25">
      <c r="B1092" s="40">
        <f>SUBTOTAL(3,C$4:C1092)</f>
        <v>1055</v>
      </c>
      <c r="C1092" s="41">
        <v>24031037</v>
      </c>
      <c r="D1092" s="41" t="s">
        <v>1568</v>
      </c>
      <c r="E1092" s="41" t="s">
        <v>31</v>
      </c>
      <c r="F1092" s="41" t="s">
        <v>1516</v>
      </c>
      <c r="G1092" s="41" t="s">
        <v>24</v>
      </c>
      <c r="H1092" s="42"/>
    </row>
    <row r="1093" spans="2:8" ht="18" customHeight="1" x14ac:dyDescent="0.25">
      <c r="B1093" s="40">
        <f>SUBTOTAL(3,C$4:C1093)</f>
        <v>1056</v>
      </c>
      <c r="C1093" s="41">
        <v>24262452</v>
      </c>
      <c r="D1093" s="41" t="s">
        <v>1569</v>
      </c>
      <c r="E1093" s="41" t="s">
        <v>31</v>
      </c>
      <c r="F1093" s="41" t="s">
        <v>1516</v>
      </c>
      <c r="G1093" s="41" t="s">
        <v>24</v>
      </c>
      <c r="H1093" s="42"/>
    </row>
    <row r="1094" spans="2:8" ht="18" customHeight="1" x14ac:dyDescent="0.25">
      <c r="B1094" s="40">
        <f>SUBTOTAL(3,C$4:C1094)</f>
        <v>1057</v>
      </c>
      <c r="C1094" s="41">
        <v>24022758</v>
      </c>
      <c r="D1094" s="41" t="s">
        <v>1570</v>
      </c>
      <c r="E1094" s="41" t="s">
        <v>31</v>
      </c>
      <c r="F1094" s="41" t="s">
        <v>1516</v>
      </c>
      <c r="G1094" s="41" t="s">
        <v>24</v>
      </c>
      <c r="H1094" s="42"/>
    </row>
    <row r="1095" spans="2:8" ht="18" customHeight="1" x14ac:dyDescent="0.25">
      <c r="B1095" s="40">
        <f>SUBTOTAL(3,C$4:C1095)</f>
        <v>1058</v>
      </c>
      <c r="C1095" s="41">
        <v>24026999</v>
      </c>
      <c r="D1095" s="41" t="s">
        <v>1571</v>
      </c>
      <c r="E1095" s="41" t="s">
        <v>31</v>
      </c>
      <c r="F1095" s="41" t="s">
        <v>1516</v>
      </c>
      <c r="G1095" s="41" t="s">
        <v>24</v>
      </c>
      <c r="H1095" s="42"/>
    </row>
    <row r="1096" spans="2:8" ht="18" customHeight="1" x14ac:dyDescent="0.25">
      <c r="B1096" s="40">
        <f>SUBTOTAL(3,C$4:C1096)</f>
        <v>1059</v>
      </c>
      <c r="C1096" s="41">
        <v>24031710</v>
      </c>
      <c r="D1096" s="41" t="s">
        <v>1572</v>
      </c>
      <c r="E1096" s="41" t="s">
        <v>31</v>
      </c>
      <c r="F1096" s="41" t="s">
        <v>1516</v>
      </c>
      <c r="G1096" s="41" t="s">
        <v>24</v>
      </c>
      <c r="H1096" s="42"/>
    </row>
    <row r="1097" spans="2:8" ht="18" customHeight="1" x14ac:dyDescent="0.25">
      <c r="B1097" s="40">
        <f>SUBTOTAL(3,C$4:C1097)</f>
        <v>1060</v>
      </c>
      <c r="C1097" s="41">
        <v>24038041</v>
      </c>
      <c r="D1097" s="41" t="s">
        <v>1515</v>
      </c>
      <c r="E1097" s="41" t="s">
        <v>31</v>
      </c>
      <c r="F1097" s="41" t="s">
        <v>1516</v>
      </c>
      <c r="G1097" s="41" t="s">
        <v>24</v>
      </c>
      <c r="H1097" s="42" t="s">
        <v>1517</v>
      </c>
    </row>
    <row r="1098" spans="2:8" ht="18" customHeight="1" x14ac:dyDescent="0.25">
      <c r="B1098" s="40">
        <f>SUBTOTAL(3,C$4:C1098)</f>
        <v>1061</v>
      </c>
      <c r="C1098" s="41">
        <v>24027066</v>
      </c>
      <c r="D1098" s="41" t="s">
        <v>1573</v>
      </c>
      <c r="E1098" s="41" t="s">
        <v>31</v>
      </c>
      <c r="F1098" s="41" t="s">
        <v>1516</v>
      </c>
      <c r="G1098" s="41" t="s">
        <v>24</v>
      </c>
      <c r="H1098" s="42"/>
    </row>
    <row r="1099" spans="2:8" ht="18" customHeight="1" x14ac:dyDescent="0.25">
      <c r="B1099" s="40">
        <f>SUBTOTAL(3,C$4:C1099)</f>
        <v>1062</v>
      </c>
      <c r="C1099" s="41">
        <v>24039102</v>
      </c>
      <c r="D1099" s="41" t="s">
        <v>1574</v>
      </c>
      <c r="E1099" s="41" t="s">
        <v>31</v>
      </c>
      <c r="F1099" s="41" t="s">
        <v>1516</v>
      </c>
      <c r="G1099" s="41" t="s">
        <v>24</v>
      </c>
      <c r="H1099" s="42" t="s">
        <v>1461</v>
      </c>
    </row>
    <row r="1100" spans="2:8" ht="18" customHeight="1" x14ac:dyDescent="0.25">
      <c r="B1100" s="40">
        <f>SUBTOTAL(3,C$4:C1100)</f>
        <v>1063</v>
      </c>
      <c r="C1100" s="41">
        <v>24036220</v>
      </c>
      <c r="D1100" s="41" t="s">
        <v>1575</v>
      </c>
      <c r="E1100" s="41" t="s">
        <v>31</v>
      </c>
      <c r="F1100" s="41" t="s">
        <v>1516</v>
      </c>
      <c r="G1100" s="41" t="s">
        <v>24</v>
      </c>
      <c r="H1100" s="42"/>
    </row>
    <row r="1101" spans="2:8" ht="18" customHeight="1" x14ac:dyDescent="0.25">
      <c r="B1101" s="40">
        <f>SUBTOTAL(3,C$4:C1101)</f>
        <v>1064</v>
      </c>
      <c r="C1101" s="41">
        <v>24027672</v>
      </c>
      <c r="D1101" s="41" t="s">
        <v>1576</v>
      </c>
      <c r="E1101" s="41" t="s">
        <v>31</v>
      </c>
      <c r="F1101" s="41" t="s">
        <v>1516</v>
      </c>
      <c r="G1101" s="41" t="s">
        <v>24</v>
      </c>
      <c r="H1101" s="42" t="s">
        <v>1491</v>
      </c>
    </row>
    <row r="1102" spans="2:8" ht="18" customHeight="1" x14ac:dyDescent="0.25">
      <c r="B1102" s="40">
        <f>SUBTOTAL(3,C$4:C1102)</f>
        <v>1065</v>
      </c>
      <c r="C1102" s="41">
        <v>24036648</v>
      </c>
      <c r="D1102" s="41" t="s">
        <v>1741</v>
      </c>
      <c r="E1102" s="41" t="s">
        <v>31</v>
      </c>
      <c r="F1102" s="41" t="s">
        <v>1516</v>
      </c>
      <c r="G1102" s="41" t="s">
        <v>24</v>
      </c>
      <c r="H1102" s="42"/>
    </row>
    <row r="1103" spans="2:8" ht="18" customHeight="1" x14ac:dyDescent="0.25">
      <c r="B1103" s="40">
        <f>SUBTOTAL(3,C$4:C1103)</f>
        <v>1066</v>
      </c>
      <c r="C1103" s="41">
        <v>24029848</v>
      </c>
      <c r="D1103" s="41" t="s">
        <v>1577</v>
      </c>
      <c r="E1103" s="41" t="s">
        <v>31</v>
      </c>
      <c r="F1103" s="41" t="s">
        <v>1516</v>
      </c>
      <c r="G1103" s="41" t="s">
        <v>24</v>
      </c>
      <c r="H1103" s="42"/>
    </row>
    <row r="1104" spans="2:8" ht="18" customHeight="1" x14ac:dyDescent="0.25">
      <c r="B1104" s="40">
        <f>SUBTOTAL(3,C$4:C1104)</f>
        <v>1067</v>
      </c>
      <c r="C1104" s="41">
        <v>24022656</v>
      </c>
      <c r="D1104" s="41" t="s">
        <v>1578</v>
      </c>
      <c r="E1104" s="41" t="s">
        <v>31</v>
      </c>
      <c r="F1104" s="41" t="s">
        <v>1516</v>
      </c>
      <c r="G1104" s="41" t="s">
        <v>24</v>
      </c>
      <c r="H1104" s="42" t="s">
        <v>1461</v>
      </c>
    </row>
    <row r="1105" spans="2:8" ht="18" customHeight="1" x14ac:dyDescent="0.25">
      <c r="B1105" s="40">
        <f>SUBTOTAL(3,C$4:C1105)</f>
        <v>1068</v>
      </c>
      <c r="C1105" s="41">
        <v>24038848</v>
      </c>
      <c r="D1105" s="41" t="s">
        <v>1579</v>
      </c>
      <c r="E1105" s="41" t="s">
        <v>31</v>
      </c>
      <c r="F1105" s="41" t="s">
        <v>1516</v>
      </c>
      <c r="G1105" s="41" t="s">
        <v>24</v>
      </c>
      <c r="H1105" s="42"/>
    </row>
    <row r="1106" spans="2:8" ht="18" customHeight="1" x14ac:dyDescent="0.25">
      <c r="B1106" s="40">
        <f>SUBTOTAL(3,C$4:C1106)</f>
        <v>1069</v>
      </c>
      <c r="C1106" s="41">
        <v>24022120</v>
      </c>
      <c r="D1106" s="41" t="s">
        <v>1580</v>
      </c>
      <c r="E1106" s="41" t="s">
        <v>31</v>
      </c>
      <c r="F1106" s="41" t="s">
        <v>1516</v>
      </c>
      <c r="G1106" s="41" t="s">
        <v>24</v>
      </c>
      <c r="H1106" s="42"/>
    </row>
    <row r="1107" spans="2:8" ht="18" customHeight="1" x14ac:dyDescent="0.25">
      <c r="B1107" s="40">
        <f>SUBTOTAL(3,C$4:C1107)</f>
        <v>1070</v>
      </c>
      <c r="C1107" s="41">
        <v>24288593</v>
      </c>
      <c r="D1107" s="41" t="s">
        <v>1581</v>
      </c>
      <c r="E1107" s="41" t="s">
        <v>31</v>
      </c>
      <c r="F1107" s="41" t="s">
        <v>1516</v>
      </c>
      <c r="G1107" s="41" t="s">
        <v>24</v>
      </c>
      <c r="H1107" s="42"/>
    </row>
    <row r="1108" spans="2:8" ht="18" customHeight="1" x14ac:dyDescent="0.25">
      <c r="B1108" s="40">
        <f>SUBTOTAL(3,C$4:C1108)</f>
        <v>1071</v>
      </c>
      <c r="C1108" s="41">
        <v>24120487</v>
      </c>
      <c r="D1108" s="41" t="s">
        <v>1582</v>
      </c>
      <c r="E1108" s="41" t="s">
        <v>31</v>
      </c>
      <c r="F1108" s="41" t="s">
        <v>1516</v>
      </c>
      <c r="G1108" s="41" t="s">
        <v>24</v>
      </c>
      <c r="H1108" s="42"/>
    </row>
    <row r="1109" spans="2:8" ht="18" customHeight="1" x14ac:dyDescent="0.25">
      <c r="B1109" s="40">
        <f>SUBTOTAL(3,C$4:C1109)</f>
        <v>1072</v>
      </c>
      <c r="C1109" s="41">
        <v>24280421</v>
      </c>
      <c r="D1109" s="41" t="s">
        <v>1583</v>
      </c>
      <c r="E1109" s="41" t="s">
        <v>31</v>
      </c>
      <c r="F1109" s="41" t="s">
        <v>1516</v>
      </c>
      <c r="G1109" s="41" t="s">
        <v>24</v>
      </c>
      <c r="H1109" s="42"/>
    </row>
    <row r="1110" spans="2:8" ht="18" customHeight="1" x14ac:dyDescent="0.25">
      <c r="B1110" s="40">
        <f>SUBTOTAL(3,C$4:C1110)</f>
        <v>1073</v>
      </c>
      <c r="C1110" s="41">
        <v>24033443</v>
      </c>
      <c r="D1110" s="41" t="s">
        <v>1269</v>
      </c>
      <c r="E1110" s="41" t="s">
        <v>31</v>
      </c>
      <c r="F1110" s="41" t="s">
        <v>1516</v>
      </c>
      <c r="G1110" s="41" t="s">
        <v>24</v>
      </c>
      <c r="H1110" s="42"/>
    </row>
    <row r="1111" spans="2:8" ht="18" customHeight="1" x14ac:dyDescent="0.25">
      <c r="B1111" s="40">
        <f>SUBTOTAL(3,C$4:C1111)</f>
        <v>1074</v>
      </c>
      <c r="C1111" s="41">
        <v>24019150</v>
      </c>
      <c r="D1111" s="41" t="s">
        <v>1584</v>
      </c>
      <c r="E1111" s="41" t="s">
        <v>31</v>
      </c>
      <c r="F1111" s="41" t="s">
        <v>1516</v>
      </c>
      <c r="G1111" s="41" t="s">
        <v>24</v>
      </c>
      <c r="H1111" s="42"/>
    </row>
    <row r="1112" spans="2:8" ht="18" customHeight="1" x14ac:dyDescent="0.25">
      <c r="B1112" s="40">
        <f>SUBTOTAL(3,C$4:C1112)</f>
        <v>1075</v>
      </c>
      <c r="C1112" s="41">
        <v>24021422</v>
      </c>
      <c r="D1112" s="41" t="s">
        <v>1585</v>
      </c>
      <c r="E1112" s="41" t="s">
        <v>31</v>
      </c>
      <c r="F1112" s="41" t="s">
        <v>1516</v>
      </c>
      <c r="G1112" s="41" t="s">
        <v>24</v>
      </c>
      <c r="H1112" s="42"/>
    </row>
    <row r="1113" spans="2:8" ht="18" customHeight="1" x14ac:dyDescent="0.25">
      <c r="B1113" s="40">
        <f>SUBTOTAL(3,C$4:C1113)</f>
        <v>1076</v>
      </c>
      <c r="C1113" s="41">
        <v>24026614</v>
      </c>
      <c r="D1113" s="41" t="s">
        <v>1587</v>
      </c>
      <c r="E1113" s="41" t="s">
        <v>31</v>
      </c>
      <c r="F1113" s="41" t="s">
        <v>1516</v>
      </c>
      <c r="G1113" s="41" t="s">
        <v>24</v>
      </c>
      <c r="H1113" s="42"/>
    </row>
    <row r="1114" spans="2:8" ht="18" customHeight="1" x14ac:dyDescent="0.25">
      <c r="B1114" s="40">
        <f>SUBTOTAL(3,C$4:C1114)</f>
        <v>1077</v>
      </c>
      <c r="C1114" s="41">
        <v>24037922</v>
      </c>
      <c r="D1114" s="41" t="s">
        <v>1586</v>
      </c>
      <c r="E1114" s="41" t="s">
        <v>31</v>
      </c>
      <c r="F1114" s="41" t="s">
        <v>1516</v>
      </c>
      <c r="G1114" s="41" t="s">
        <v>24</v>
      </c>
      <c r="H1114" s="42" t="s">
        <v>1461</v>
      </c>
    </row>
    <row r="1115" spans="2:8" ht="18" customHeight="1" x14ac:dyDescent="0.25">
      <c r="B1115" s="40">
        <f>SUBTOTAL(3,C$4:C1115)</f>
        <v>1078</v>
      </c>
      <c r="C1115" s="41">
        <v>24244589</v>
      </c>
      <c r="D1115" s="41" t="s">
        <v>1588</v>
      </c>
      <c r="E1115" s="41" t="s">
        <v>31</v>
      </c>
      <c r="F1115" s="41" t="s">
        <v>1516</v>
      </c>
      <c r="G1115" s="41" t="s">
        <v>24</v>
      </c>
      <c r="H1115" s="42"/>
    </row>
    <row r="1116" spans="2:8" ht="18" customHeight="1" x14ac:dyDescent="0.25">
      <c r="B1116" s="40">
        <f>SUBTOTAL(3,C$4:C1116)</f>
        <v>1079</v>
      </c>
      <c r="C1116" s="41">
        <v>24030200</v>
      </c>
      <c r="D1116" s="41" t="s">
        <v>1589</v>
      </c>
      <c r="E1116" s="41" t="s">
        <v>31</v>
      </c>
      <c r="F1116" s="41" t="s">
        <v>1516</v>
      </c>
      <c r="G1116" s="41" t="s">
        <v>24</v>
      </c>
      <c r="H1116" s="42"/>
    </row>
    <row r="1117" spans="2:8" ht="18" customHeight="1" x14ac:dyDescent="0.25">
      <c r="B1117" s="40">
        <f>SUBTOTAL(3,C$4:C1117)</f>
        <v>1080</v>
      </c>
      <c r="C1117" s="41">
        <v>24024089</v>
      </c>
      <c r="D1117" s="41" t="s">
        <v>1590</v>
      </c>
      <c r="E1117" s="41" t="s">
        <v>31</v>
      </c>
      <c r="F1117" s="41" t="s">
        <v>1516</v>
      </c>
      <c r="G1117" s="41" t="s">
        <v>24</v>
      </c>
      <c r="H1117" s="42"/>
    </row>
    <row r="1118" spans="2:8" ht="18" customHeight="1" x14ac:dyDescent="0.25">
      <c r="B1118" s="40">
        <f>SUBTOTAL(3,C$4:C1118)</f>
        <v>1081</v>
      </c>
      <c r="C1118" s="41">
        <v>24027582</v>
      </c>
      <c r="D1118" s="41" t="s">
        <v>1591</v>
      </c>
      <c r="E1118" s="41" t="s">
        <v>31</v>
      </c>
      <c r="F1118" s="41" t="s">
        <v>1516</v>
      </c>
      <c r="G1118" s="41" t="s">
        <v>24</v>
      </c>
      <c r="H1118" s="42"/>
    </row>
    <row r="1119" spans="2:8" ht="18" customHeight="1" x14ac:dyDescent="0.25">
      <c r="B1119" s="40">
        <f>SUBTOTAL(3,C$4:C1119)</f>
        <v>1082</v>
      </c>
      <c r="C1119" s="41">
        <v>24030686</v>
      </c>
      <c r="D1119" s="41" t="s">
        <v>1592</v>
      </c>
      <c r="E1119" s="41" t="s">
        <v>31</v>
      </c>
      <c r="F1119" s="41" t="s">
        <v>1516</v>
      </c>
      <c r="G1119" s="41" t="s">
        <v>24</v>
      </c>
      <c r="H1119" s="42"/>
    </row>
    <row r="1120" spans="2:8" ht="18" customHeight="1" x14ac:dyDescent="0.25">
      <c r="B1120" s="40">
        <f>SUBTOTAL(3,C$4:C1120)</f>
        <v>1083</v>
      </c>
      <c r="C1120" s="41">
        <v>24029935</v>
      </c>
      <c r="D1120" s="41" t="s">
        <v>1593</v>
      </c>
      <c r="E1120" s="41" t="s">
        <v>31</v>
      </c>
      <c r="F1120" s="41" t="s">
        <v>1516</v>
      </c>
      <c r="G1120" s="41" t="s">
        <v>24</v>
      </c>
      <c r="H1120" s="42"/>
    </row>
    <row r="1121" spans="2:8" ht="18" customHeight="1" x14ac:dyDescent="0.25">
      <c r="B1121" s="40">
        <f>SUBTOTAL(3,C$4:C1121)</f>
        <v>1084</v>
      </c>
      <c r="C1121" s="41">
        <v>24034602</v>
      </c>
      <c r="D1121" s="41" t="s">
        <v>1594</v>
      </c>
      <c r="E1121" s="41" t="s">
        <v>31</v>
      </c>
      <c r="F1121" s="41" t="s">
        <v>1516</v>
      </c>
      <c r="G1121" s="41" t="s">
        <v>24</v>
      </c>
      <c r="H1121" s="42" t="s">
        <v>1461</v>
      </c>
    </row>
    <row r="1122" spans="2:8" ht="18" customHeight="1" x14ac:dyDescent="0.25">
      <c r="B1122" s="40">
        <f>SUBTOTAL(3,C$4:C1122)</f>
        <v>1085</v>
      </c>
      <c r="C1122" s="41">
        <v>24029949</v>
      </c>
      <c r="D1122" s="41" t="s">
        <v>1595</v>
      </c>
      <c r="E1122" s="41" t="s">
        <v>31</v>
      </c>
      <c r="F1122" s="41" t="s">
        <v>1516</v>
      </c>
      <c r="G1122" s="41" t="s">
        <v>24</v>
      </c>
      <c r="H1122" s="42"/>
    </row>
    <row r="1123" spans="2:8" ht="18" customHeight="1" x14ac:dyDescent="0.25">
      <c r="B1123" s="40">
        <f>SUBTOTAL(3,C$4:C1123)</f>
        <v>1086</v>
      </c>
      <c r="C1123" s="41">
        <v>24040185</v>
      </c>
      <c r="D1123" s="41" t="s">
        <v>1596</v>
      </c>
      <c r="E1123" s="41" t="s">
        <v>31</v>
      </c>
      <c r="F1123" s="41" t="s">
        <v>1516</v>
      </c>
      <c r="G1123" s="41" t="s">
        <v>24</v>
      </c>
      <c r="H1123" s="42"/>
    </row>
    <row r="1124" spans="2:8" ht="18" customHeight="1" x14ac:dyDescent="0.25">
      <c r="B1124" s="40">
        <f>SUBTOTAL(3,C$4:C1124)</f>
        <v>1087</v>
      </c>
      <c r="C1124" s="41">
        <v>24023451</v>
      </c>
      <c r="D1124" s="41" t="s">
        <v>1597</v>
      </c>
      <c r="E1124" s="41" t="s">
        <v>31</v>
      </c>
      <c r="F1124" s="41" t="s">
        <v>1516</v>
      </c>
      <c r="G1124" s="41" t="s">
        <v>24</v>
      </c>
      <c r="H1124" s="42" t="s">
        <v>1461</v>
      </c>
    </row>
    <row r="1125" spans="2:8" ht="18" customHeight="1" x14ac:dyDescent="0.25">
      <c r="B1125" s="40">
        <f>SUBTOTAL(3,C$4:C1125)</f>
        <v>1088</v>
      </c>
      <c r="C1125" s="41">
        <v>24034022</v>
      </c>
      <c r="D1125" s="41" t="s">
        <v>1598</v>
      </c>
      <c r="E1125" s="41" t="s">
        <v>31</v>
      </c>
      <c r="F1125" s="41" t="s">
        <v>1516</v>
      </c>
      <c r="G1125" s="41" t="s">
        <v>24</v>
      </c>
      <c r="H1125" s="42"/>
    </row>
    <row r="1126" spans="2:8" ht="18" customHeight="1" x14ac:dyDescent="0.25">
      <c r="B1126" s="40">
        <f>SUBTOTAL(3,C$4:C1126)</f>
        <v>1089</v>
      </c>
      <c r="C1126" s="41">
        <v>24021660</v>
      </c>
      <c r="D1126" s="41" t="s">
        <v>1599</v>
      </c>
      <c r="E1126" s="41" t="s">
        <v>31</v>
      </c>
      <c r="F1126" s="41" t="s">
        <v>1516</v>
      </c>
      <c r="G1126" s="41" t="s">
        <v>24</v>
      </c>
      <c r="H1126" s="42"/>
    </row>
    <row r="1127" spans="2:8" ht="18" customHeight="1" x14ac:dyDescent="0.25">
      <c r="B1127" s="40">
        <f>SUBTOTAL(3,C$4:C1127)</f>
        <v>1090</v>
      </c>
      <c r="C1127" s="41">
        <v>24225342</v>
      </c>
      <c r="D1127" s="41" t="s">
        <v>1548</v>
      </c>
      <c r="E1127" s="41" t="s">
        <v>31</v>
      </c>
      <c r="F1127" s="41" t="s">
        <v>1516</v>
      </c>
      <c r="G1127" s="41" t="s">
        <v>24</v>
      </c>
      <c r="H1127" s="42"/>
    </row>
    <row r="1128" spans="2:8" ht="18" customHeight="1" x14ac:dyDescent="0.25">
      <c r="B1128" s="40">
        <f>SUBTOTAL(3,C$4:C1128)</f>
        <v>1091</v>
      </c>
      <c r="C1128" s="41">
        <v>24024927</v>
      </c>
      <c r="D1128" s="41" t="s">
        <v>1600</v>
      </c>
      <c r="E1128" s="41" t="s">
        <v>31</v>
      </c>
      <c r="F1128" s="41" t="s">
        <v>1516</v>
      </c>
      <c r="G1128" s="41" t="s">
        <v>24</v>
      </c>
      <c r="H1128" s="42"/>
    </row>
    <row r="1129" spans="2:8" ht="18" customHeight="1" x14ac:dyDescent="0.25">
      <c r="B1129" s="40">
        <f>SUBTOTAL(3,C$4:C1129)</f>
        <v>1092</v>
      </c>
      <c r="C1129" s="41">
        <v>24023702</v>
      </c>
      <c r="D1129" s="41" t="s">
        <v>1601</v>
      </c>
      <c r="E1129" s="41" t="s">
        <v>31</v>
      </c>
      <c r="F1129" s="41" t="s">
        <v>1516</v>
      </c>
      <c r="G1129" s="41" t="s">
        <v>24</v>
      </c>
      <c r="H1129" s="42"/>
    </row>
    <row r="1130" spans="2:8" ht="18" customHeight="1" x14ac:dyDescent="0.25">
      <c r="B1130" s="40">
        <f>SUBTOTAL(3,C$4:C1130)</f>
        <v>1093</v>
      </c>
      <c r="C1130" s="41">
        <v>24036241</v>
      </c>
      <c r="D1130" s="41" t="s">
        <v>1602</v>
      </c>
      <c r="E1130" s="41" t="s">
        <v>31</v>
      </c>
      <c r="F1130" s="41" t="s">
        <v>1516</v>
      </c>
      <c r="G1130" s="41" t="s">
        <v>24</v>
      </c>
      <c r="H1130" s="42"/>
    </row>
    <row r="1131" spans="2:8" ht="18" customHeight="1" x14ac:dyDescent="0.25">
      <c r="B1131" s="40">
        <f>SUBTOTAL(3,C$4:C1131)</f>
        <v>1094</v>
      </c>
      <c r="C1131" s="41">
        <v>24025858</v>
      </c>
      <c r="D1131" s="41" t="s">
        <v>1603</v>
      </c>
      <c r="E1131" s="41" t="s">
        <v>31</v>
      </c>
      <c r="F1131" s="41" t="s">
        <v>1516</v>
      </c>
      <c r="G1131" s="41" t="s">
        <v>24</v>
      </c>
      <c r="H1131" s="42"/>
    </row>
    <row r="1132" spans="2:8" ht="18" customHeight="1" x14ac:dyDescent="0.25">
      <c r="B1132" s="40">
        <f>SUBTOTAL(3,C$4:C1132)</f>
        <v>1095</v>
      </c>
      <c r="C1132" s="41">
        <v>24308952</v>
      </c>
      <c r="D1132" s="41" t="s">
        <v>1604</v>
      </c>
      <c r="E1132" s="41" t="s">
        <v>31</v>
      </c>
      <c r="F1132" s="41" t="s">
        <v>1516</v>
      </c>
      <c r="G1132" s="41" t="s">
        <v>24</v>
      </c>
      <c r="H1132" s="42"/>
    </row>
    <row r="1133" spans="2:8" ht="18" customHeight="1" x14ac:dyDescent="0.25">
      <c r="B1133" s="40">
        <f>SUBTOTAL(3,C$4:C1133)</f>
        <v>1096</v>
      </c>
      <c r="C1133" s="41">
        <v>24034039</v>
      </c>
      <c r="D1133" s="41" t="s">
        <v>1605</v>
      </c>
      <c r="E1133" s="41" t="s">
        <v>31</v>
      </c>
      <c r="F1133" s="41" t="s">
        <v>1516</v>
      </c>
      <c r="G1133" s="41" t="s">
        <v>24</v>
      </c>
      <c r="H1133" s="42"/>
    </row>
    <row r="1134" spans="2:8" ht="18" customHeight="1" x14ac:dyDescent="0.25">
      <c r="B1134" s="40">
        <f>SUBTOTAL(3,C$4:C1134)</f>
        <v>1097</v>
      </c>
      <c r="C1134" s="41">
        <v>24021806</v>
      </c>
      <c r="D1134" s="41" t="s">
        <v>1606</v>
      </c>
      <c r="E1134" s="41" t="s">
        <v>31</v>
      </c>
      <c r="F1134" s="41" t="s">
        <v>1516</v>
      </c>
      <c r="G1134" s="41" t="s">
        <v>24</v>
      </c>
      <c r="H1134" s="42" t="s">
        <v>1461</v>
      </c>
    </row>
    <row r="1135" spans="2:8" ht="18" customHeight="1" x14ac:dyDescent="0.25">
      <c r="B1135" s="40">
        <f>SUBTOTAL(3,C$4:C1135)</f>
        <v>1098</v>
      </c>
      <c r="C1135" s="41">
        <v>24023780</v>
      </c>
      <c r="D1135" s="41" t="s">
        <v>1607</v>
      </c>
      <c r="E1135" s="41" t="s">
        <v>31</v>
      </c>
      <c r="F1135" s="41" t="s">
        <v>1516</v>
      </c>
      <c r="G1135" s="41" t="s">
        <v>24</v>
      </c>
      <c r="H1135" s="42"/>
    </row>
    <row r="1136" spans="2:8" ht="18" customHeight="1" x14ac:dyDescent="0.25">
      <c r="B1136" s="40">
        <f>SUBTOTAL(3,C$4:C1136)</f>
        <v>1099</v>
      </c>
      <c r="C1136" s="41">
        <v>24032160</v>
      </c>
      <c r="D1136" s="41" t="s">
        <v>1608</v>
      </c>
      <c r="E1136" s="41" t="s">
        <v>31</v>
      </c>
      <c r="F1136" s="41" t="s">
        <v>1516</v>
      </c>
      <c r="G1136" s="41" t="s">
        <v>24</v>
      </c>
      <c r="H1136" s="42"/>
    </row>
    <row r="1137" spans="2:8" ht="18" customHeight="1" x14ac:dyDescent="0.25">
      <c r="B1137" s="40">
        <f>SUBTOTAL(3,C$4:C1137)</f>
        <v>1100</v>
      </c>
      <c r="C1137" s="41">
        <v>24027394</v>
      </c>
      <c r="D1137" s="41" t="s">
        <v>1609</v>
      </c>
      <c r="E1137" s="41" t="s">
        <v>31</v>
      </c>
      <c r="F1137" s="41" t="s">
        <v>1516</v>
      </c>
      <c r="G1137" s="41" t="s">
        <v>24</v>
      </c>
      <c r="H1137" s="42"/>
    </row>
    <row r="1138" spans="2:8" ht="18" customHeight="1" x14ac:dyDescent="0.25">
      <c r="B1138" s="40">
        <f>SUBTOTAL(3,C$4:C1138)</f>
        <v>1101</v>
      </c>
      <c r="C1138" s="41">
        <v>24025624</v>
      </c>
      <c r="D1138" s="41" t="s">
        <v>1610</v>
      </c>
      <c r="E1138" s="41" t="s">
        <v>31</v>
      </c>
      <c r="F1138" s="41" t="s">
        <v>1611</v>
      </c>
      <c r="G1138" s="41" t="s">
        <v>24</v>
      </c>
      <c r="H1138" s="42"/>
    </row>
    <row r="1139" spans="2:8" ht="18" customHeight="1" x14ac:dyDescent="0.25">
      <c r="B1139" s="40">
        <f>SUBTOTAL(3,C$4:C1139)</f>
        <v>1102</v>
      </c>
      <c r="C1139" s="41">
        <v>24121870</v>
      </c>
      <c r="D1139" s="41" t="s">
        <v>1612</v>
      </c>
      <c r="E1139" s="41" t="s">
        <v>31</v>
      </c>
      <c r="F1139" s="41" t="s">
        <v>1611</v>
      </c>
      <c r="G1139" s="41" t="s">
        <v>24</v>
      </c>
      <c r="H1139" s="42"/>
    </row>
    <row r="1140" spans="2:8" ht="18" customHeight="1" x14ac:dyDescent="0.25">
      <c r="B1140" s="40">
        <f>SUBTOTAL(3,C$4:C1140)</f>
        <v>1103</v>
      </c>
      <c r="C1140" s="41">
        <v>24033337</v>
      </c>
      <c r="D1140" s="41" t="s">
        <v>1613</v>
      </c>
      <c r="E1140" s="41" t="s">
        <v>31</v>
      </c>
      <c r="F1140" s="41" t="s">
        <v>1611</v>
      </c>
      <c r="G1140" s="41" t="s">
        <v>24</v>
      </c>
      <c r="H1140" s="42"/>
    </row>
    <row r="1141" spans="2:8" ht="18" customHeight="1" x14ac:dyDescent="0.25">
      <c r="B1141" s="40">
        <f>SUBTOTAL(3,C$4:C1141)</f>
        <v>1104</v>
      </c>
      <c r="C1141" s="41">
        <v>24033386</v>
      </c>
      <c r="D1141" s="41" t="s">
        <v>1614</v>
      </c>
      <c r="E1141" s="41" t="s">
        <v>31</v>
      </c>
      <c r="F1141" s="41" t="s">
        <v>1611</v>
      </c>
      <c r="G1141" s="41" t="s">
        <v>24</v>
      </c>
      <c r="H1141" s="42"/>
    </row>
    <row r="1142" spans="2:8" ht="18" customHeight="1" x14ac:dyDescent="0.25">
      <c r="B1142" s="40">
        <f>SUBTOTAL(3,C$4:C1142)</f>
        <v>1105</v>
      </c>
      <c r="C1142" s="41">
        <v>24030982</v>
      </c>
      <c r="D1142" s="41" t="s">
        <v>1615</v>
      </c>
      <c r="E1142" s="41" t="s">
        <v>31</v>
      </c>
      <c r="F1142" s="41" t="s">
        <v>1611</v>
      </c>
      <c r="G1142" s="41" t="s">
        <v>24</v>
      </c>
      <c r="H1142" s="42" t="s">
        <v>1461</v>
      </c>
    </row>
    <row r="1143" spans="2:8" ht="18" customHeight="1" x14ac:dyDescent="0.25">
      <c r="B1143" s="40">
        <f>SUBTOTAL(3,C$4:C1143)</f>
        <v>1106</v>
      </c>
      <c r="C1143" s="41">
        <v>24035344</v>
      </c>
      <c r="D1143" s="41" t="s">
        <v>1616</v>
      </c>
      <c r="E1143" s="41" t="s">
        <v>31</v>
      </c>
      <c r="F1143" s="41" t="s">
        <v>1611</v>
      </c>
      <c r="G1143" s="41" t="s">
        <v>24</v>
      </c>
      <c r="H1143" s="42"/>
    </row>
    <row r="1144" spans="2:8" ht="18" customHeight="1" x14ac:dyDescent="0.25">
      <c r="B1144" s="40">
        <f>SUBTOTAL(3,C$4:C1144)</f>
        <v>1107</v>
      </c>
      <c r="C1144" s="41">
        <v>24032973</v>
      </c>
      <c r="D1144" s="41" t="s">
        <v>1617</v>
      </c>
      <c r="E1144" s="41" t="s">
        <v>31</v>
      </c>
      <c r="F1144" s="41" t="s">
        <v>1611</v>
      </c>
      <c r="G1144" s="41" t="s">
        <v>24</v>
      </c>
      <c r="H1144" s="42"/>
    </row>
    <row r="1145" spans="2:8" ht="18" customHeight="1" x14ac:dyDescent="0.25">
      <c r="B1145" s="40">
        <f>SUBTOTAL(3,C$4:C1145)</f>
        <v>1108</v>
      </c>
      <c r="C1145" s="41">
        <v>24039608</v>
      </c>
      <c r="D1145" s="41" t="s">
        <v>1618</v>
      </c>
      <c r="E1145" s="41" t="s">
        <v>31</v>
      </c>
      <c r="F1145" s="41" t="s">
        <v>1611</v>
      </c>
      <c r="G1145" s="41" t="s">
        <v>24</v>
      </c>
      <c r="H1145" s="42" t="s">
        <v>1619</v>
      </c>
    </row>
    <row r="1146" spans="2:8" ht="18" customHeight="1" x14ac:dyDescent="0.25">
      <c r="B1146" s="40">
        <f>SUBTOTAL(3,C$4:C1146)</f>
        <v>1109</v>
      </c>
      <c r="C1146" s="41">
        <v>24026974</v>
      </c>
      <c r="D1146" s="41" t="s">
        <v>1620</v>
      </c>
      <c r="E1146" s="41" t="s">
        <v>31</v>
      </c>
      <c r="F1146" s="41" t="s">
        <v>1611</v>
      </c>
      <c r="G1146" s="41" t="s">
        <v>24</v>
      </c>
      <c r="H1146" s="42"/>
    </row>
    <row r="1147" spans="2:8" ht="18" customHeight="1" x14ac:dyDescent="0.25">
      <c r="B1147" s="40">
        <f>SUBTOTAL(3,C$4:C1147)</f>
        <v>1110</v>
      </c>
      <c r="C1147" s="41">
        <v>24025054</v>
      </c>
      <c r="D1147" s="41" t="s">
        <v>1621</v>
      </c>
      <c r="E1147" s="41" t="s">
        <v>31</v>
      </c>
      <c r="F1147" s="41" t="s">
        <v>1611</v>
      </c>
      <c r="G1147" s="41" t="s">
        <v>24</v>
      </c>
      <c r="H1147" s="42"/>
    </row>
    <row r="1148" spans="2:8" ht="18" customHeight="1" x14ac:dyDescent="0.25">
      <c r="B1148" s="40">
        <f>SUBTOTAL(3,C$4:C1148)</f>
        <v>1111</v>
      </c>
      <c r="C1148" s="41">
        <v>24032978</v>
      </c>
      <c r="D1148" s="41" t="s">
        <v>1622</v>
      </c>
      <c r="E1148" s="41" t="s">
        <v>31</v>
      </c>
      <c r="F1148" s="41" t="s">
        <v>1611</v>
      </c>
      <c r="G1148" s="41" t="s">
        <v>24</v>
      </c>
      <c r="H1148" s="42" t="s">
        <v>1461</v>
      </c>
    </row>
    <row r="1149" spans="2:8" ht="18" customHeight="1" x14ac:dyDescent="0.25">
      <c r="B1149" s="40">
        <f>SUBTOTAL(3,C$4:C1149)</f>
        <v>1112</v>
      </c>
      <c r="C1149" s="41">
        <v>24033894</v>
      </c>
      <c r="D1149" s="41" t="s">
        <v>1623</v>
      </c>
      <c r="E1149" s="41" t="s">
        <v>31</v>
      </c>
      <c r="F1149" s="41" t="s">
        <v>1611</v>
      </c>
      <c r="G1149" s="41" t="s">
        <v>24</v>
      </c>
      <c r="H1149" s="42"/>
    </row>
    <row r="1150" spans="2:8" ht="18" customHeight="1" x14ac:dyDescent="0.25">
      <c r="B1150" s="40">
        <f>SUBTOTAL(3,C$4:C1150)</f>
        <v>1113</v>
      </c>
      <c r="C1150" s="41">
        <v>24039345</v>
      </c>
      <c r="D1150" s="41" t="s">
        <v>1624</v>
      </c>
      <c r="E1150" s="41" t="s">
        <v>31</v>
      </c>
      <c r="F1150" s="41" t="s">
        <v>1611</v>
      </c>
      <c r="G1150" s="41" t="s">
        <v>24</v>
      </c>
      <c r="H1150" s="42"/>
    </row>
    <row r="1151" spans="2:8" ht="18" customHeight="1" x14ac:dyDescent="0.25">
      <c r="B1151" s="40">
        <f>SUBTOTAL(3,C$4:C1151)</f>
        <v>1114</v>
      </c>
      <c r="C1151" s="41">
        <v>24023336</v>
      </c>
      <c r="D1151" s="41" t="s">
        <v>1625</v>
      </c>
      <c r="E1151" s="41" t="s">
        <v>31</v>
      </c>
      <c r="F1151" s="41" t="s">
        <v>1611</v>
      </c>
      <c r="G1151" s="41" t="s">
        <v>24</v>
      </c>
      <c r="H1151" s="42"/>
    </row>
    <row r="1152" spans="2:8" ht="18" customHeight="1" x14ac:dyDescent="0.25">
      <c r="B1152" s="40">
        <f>SUBTOTAL(3,C$4:C1152)</f>
        <v>1115</v>
      </c>
      <c r="C1152" s="41">
        <v>24028573</v>
      </c>
      <c r="D1152" s="41" t="s">
        <v>1626</v>
      </c>
      <c r="E1152" s="41" t="s">
        <v>31</v>
      </c>
      <c r="F1152" s="41" t="s">
        <v>1611</v>
      </c>
      <c r="G1152" s="41" t="s">
        <v>24</v>
      </c>
      <c r="H1152" s="42"/>
    </row>
    <row r="1153" spans="2:8" ht="18" customHeight="1" x14ac:dyDescent="0.25">
      <c r="B1153" s="40">
        <f>SUBTOTAL(3,C$4:C1153)</f>
        <v>1116</v>
      </c>
      <c r="C1153" s="41">
        <v>24019907</v>
      </c>
      <c r="D1153" s="41" t="s">
        <v>1627</v>
      </c>
      <c r="E1153" s="41" t="s">
        <v>31</v>
      </c>
      <c r="F1153" s="41" t="s">
        <v>1611</v>
      </c>
      <c r="G1153" s="41" t="s">
        <v>24</v>
      </c>
      <c r="H1153" s="42"/>
    </row>
    <row r="1154" spans="2:8" ht="18" customHeight="1" x14ac:dyDescent="0.25">
      <c r="B1154" s="40">
        <f>SUBTOTAL(3,C$4:C1154)</f>
        <v>1117</v>
      </c>
      <c r="C1154" s="41">
        <v>24030626</v>
      </c>
      <c r="D1154" s="41" t="s">
        <v>1628</v>
      </c>
      <c r="E1154" s="41" t="s">
        <v>31</v>
      </c>
      <c r="F1154" s="41" t="s">
        <v>1611</v>
      </c>
      <c r="G1154" s="41" t="s">
        <v>24</v>
      </c>
      <c r="H1154" s="42"/>
    </row>
    <row r="1155" spans="2:8" ht="18" customHeight="1" x14ac:dyDescent="0.25">
      <c r="B1155" s="40">
        <f>SUBTOTAL(3,C$4:C1155)</f>
        <v>1118</v>
      </c>
      <c r="C1155" s="41">
        <v>24033190</v>
      </c>
      <c r="D1155" s="41" t="s">
        <v>1629</v>
      </c>
      <c r="E1155" s="41" t="s">
        <v>31</v>
      </c>
      <c r="F1155" s="41" t="s">
        <v>1611</v>
      </c>
      <c r="G1155" s="41" t="s">
        <v>24</v>
      </c>
      <c r="H1155" s="42"/>
    </row>
    <row r="1156" spans="2:8" ht="18" customHeight="1" x14ac:dyDescent="0.25">
      <c r="B1156" s="40">
        <f>SUBTOTAL(3,C$4:C1156)</f>
        <v>1119</v>
      </c>
      <c r="C1156" s="41">
        <v>24025877</v>
      </c>
      <c r="D1156" s="41" t="s">
        <v>1630</v>
      </c>
      <c r="E1156" s="41" t="s">
        <v>31</v>
      </c>
      <c r="F1156" s="41" t="s">
        <v>1611</v>
      </c>
      <c r="G1156" s="41" t="s">
        <v>24</v>
      </c>
      <c r="H1156" s="42" t="s">
        <v>1491</v>
      </c>
    </row>
    <row r="1157" spans="2:8" ht="18" customHeight="1" x14ac:dyDescent="0.25">
      <c r="B1157" s="40">
        <f>SUBTOTAL(3,C$4:C1157)</f>
        <v>1120</v>
      </c>
      <c r="C1157" s="41">
        <v>24120518</v>
      </c>
      <c r="D1157" s="41" t="s">
        <v>1631</v>
      </c>
      <c r="E1157" s="41" t="s">
        <v>31</v>
      </c>
      <c r="F1157" s="41" t="s">
        <v>1611</v>
      </c>
      <c r="G1157" s="41" t="s">
        <v>24</v>
      </c>
      <c r="H1157" s="42"/>
    </row>
    <row r="1158" spans="2:8" ht="18" customHeight="1" x14ac:dyDescent="0.25">
      <c r="B1158" s="40">
        <f>SUBTOTAL(3,C$4:C1158)</f>
        <v>1121</v>
      </c>
      <c r="C1158" s="41">
        <v>24027563</v>
      </c>
      <c r="D1158" s="41" t="s">
        <v>1632</v>
      </c>
      <c r="E1158" s="41" t="s">
        <v>31</v>
      </c>
      <c r="F1158" s="41" t="s">
        <v>1611</v>
      </c>
      <c r="G1158" s="41" t="s">
        <v>24</v>
      </c>
      <c r="H1158" s="42"/>
    </row>
    <row r="1159" spans="2:8" ht="18" customHeight="1" x14ac:dyDescent="0.25">
      <c r="B1159" s="40">
        <f>SUBTOTAL(3,C$4:C1159)</f>
        <v>1122</v>
      </c>
      <c r="C1159" s="41">
        <v>24231281</v>
      </c>
      <c r="D1159" s="41" t="s">
        <v>1633</v>
      </c>
      <c r="E1159" s="41" t="s">
        <v>31</v>
      </c>
      <c r="F1159" s="41" t="s">
        <v>1611</v>
      </c>
      <c r="G1159" s="41" t="s">
        <v>24</v>
      </c>
      <c r="H1159" s="42"/>
    </row>
    <row r="1160" spans="2:8" ht="18" customHeight="1" x14ac:dyDescent="0.25">
      <c r="B1160" s="40">
        <f>SUBTOTAL(3,C$4:C1160)</f>
        <v>1123</v>
      </c>
      <c r="C1160" s="41">
        <v>24210162</v>
      </c>
      <c r="D1160" s="41" t="s">
        <v>1634</v>
      </c>
      <c r="E1160" s="41" t="s">
        <v>31</v>
      </c>
      <c r="F1160" s="41" t="s">
        <v>1611</v>
      </c>
      <c r="G1160" s="41" t="s">
        <v>24</v>
      </c>
      <c r="H1160" s="42" t="s">
        <v>1491</v>
      </c>
    </row>
    <row r="1161" spans="2:8" ht="18" customHeight="1" x14ac:dyDescent="0.25">
      <c r="B1161" s="40">
        <f>SUBTOTAL(3,C$4:C1161)</f>
        <v>1124</v>
      </c>
      <c r="C1161" s="41">
        <v>24021071</v>
      </c>
      <c r="D1161" s="41" t="s">
        <v>1635</v>
      </c>
      <c r="E1161" s="41" t="s">
        <v>31</v>
      </c>
      <c r="F1161" s="41" t="s">
        <v>1611</v>
      </c>
      <c r="G1161" s="41" t="s">
        <v>24</v>
      </c>
      <c r="H1161" s="42"/>
    </row>
    <row r="1162" spans="2:8" ht="18" customHeight="1" x14ac:dyDescent="0.25">
      <c r="B1162" s="40">
        <f>SUBTOTAL(3,C$4:C1162)</f>
        <v>1125</v>
      </c>
      <c r="C1162" s="41">
        <v>24021073</v>
      </c>
      <c r="D1162" s="41" t="s">
        <v>1638</v>
      </c>
      <c r="E1162" s="41" t="s">
        <v>31</v>
      </c>
      <c r="F1162" s="41" t="s">
        <v>1611</v>
      </c>
      <c r="G1162" s="41" t="s">
        <v>24</v>
      </c>
      <c r="H1162" s="42"/>
    </row>
    <row r="1163" spans="2:8" ht="18" customHeight="1" x14ac:dyDescent="0.25">
      <c r="B1163" s="40">
        <f>SUBTOTAL(3,C$4:C1163)</f>
        <v>1126</v>
      </c>
      <c r="C1163" s="41">
        <v>24168705</v>
      </c>
      <c r="D1163" s="41" t="s">
        <v>1636</v>
      </c>
      <c r="E1163" s="41" t="s">
        <v>31</v>
      </c>
      <c r="F1163" s="41" t="s">
        <v>1611</v>
      </c>
      <c r="G1163" s="41" t="s">
        <v>24</v>
      </c>
      <c r="H1163" s="42" t="s">
        <v>201</v>
      </c>
    </row>
    <row r="1164" spans="2:8" ht="18" customHeight="1" x14ac:dyDescent="0.25">
      <c r="B1164" s="40">
        <f>SUBTOTAL(3,C$4:C1164)</f>
        <v>1127</v>
      </c>
      <c r="C1164" s="41">
        <v>24027838</v>
      </c>
      <c r="D1164" s="41" t="s">
        <v>1637</v>
      </c>
      <c r="E1164" s="41" t="s">
        <v>31</v>
      </c>
      <c r="F1164" s="41" t="s">
        <v>1611</v>
      </c>
      <c r="G1164" s="41" t="s">
        <v>24</v>
      </c>
      <c r="H1164" s="42"/>
    </row>
    <row r="1165" spans="2:8" ht="18" customHeight="1" x14ac:dyDescent="0.25">
      <c r="B1165" s="40">
        <f>SUBTOTAL(3,C$4:C1165)</f>
        <v>1128</v>
      </c>
      <c r="C1165" s="41">
        <v>24031036</v>
      </c>
      <c r="D1165" s="41" t="s">
        <v>1639</v>
      </c>
      <c r="E1165" s="41" t="s">
        <v>31</v>
      </c>
      <c r="F1165" s="41" t="s">
        <v>1611</v>
      </c>
      <c r="G1165" s="41" t="s">
        <v>24</v>
      </c>
      <c r="H1165" s="42"/>
    </row>
    <row r="1166" spans="2:8" ht="18" customHeight="1" x14ac:dyDescent="0.25">
      <c r="B1166" s="40">
        <f>SUBTOTAL(3,C$4:C1166)</f>
        <v>1129</v>
      </c>
      <c r="C1166" s="41">
        <v>24037082</v>
      </c>
      <c r="D1166" s="41" t="s">
        <v>1640</v>
      </c>
      <c r="E1166" s="41" t="s">
        <v>31</v>
      </c>
      <c r="F1166" s="41" t="s">
        <v>1611</v>
      </c>
      <c r="G1166" s="41" t="s">
        <v>24</v>
      </c>
      <c r="H1166" s="42"/>
    </row>
    <row r="1167" spans="2:8" ht="18" customHeight="1" x14ac:dyDescent="0.25">
      <c r="B1167" s="40">
        <f>SUBTOTAL(3,C$4:C1167)</f>
        <v>1130</v>
      </c>
      <c r="C1167" s="41">
        <v>24038024</v>
      </c>
      <c r="D1167" s="41" t="s">
        <v>1641</v>
      </c>
      <c r="E1167" s="41" t="s">
        <v>31</v>
      </c>
      <c r="F1167" s="41" t="s">
        <v>1611</v>
      </c>
      <c r="G1167" s="41" t="s">
        <v>24</v>
      </c>
      <c r="H1167" s="42"/>
    </row>
    <row r="1168" spans="2:8" ht="18" customHeight="1" x14ac:dyDescent="0.25">
      <c r="B1168" s="40">
        <f>SUBTOTAL(3,C$4:C1168)</f>
        <v>1131</v>
      </c>
      <c r="C1168" s="41">
        <v>24262137</v>
      </c>
      <c r="D1168" s="41" t="s">
        <v>1642</v>
      </c>
      <c r="E1168" s="41" t="s">
        <v>31</v>
      </c>
      <c r="F1168" s="41" t="s">
        <v>1611</v>
      </c>
      <c r="G1168" s="41" t="s">
        <v>24</v>
      </c>
      <c r="H1168" s="42"/>
    </row>
    <row r="1169" spans="2:8" ht="18" customHeight="1" x14ac:dyDescent="0.25">
      <c r="B1169" s="40">
        <f>SUBTOTAL(3,C$4:C1169)</f>
        <v>1132</v>
      </c>
      <c r="C1169" s="41">
        <v>24035879</v>
      </c>
      <c r="D1169" s="41" t="s">
        <v>1643</v>
      </c>
      <c r="E1169" s="41" t="s">
        <v>31</v>
      </c>
      <c r="F1169" s="41" t="s">
        <v>1611</v>
      </c>
      <c r="G1169" s="41" t="s">
        <v>24</v>
      </c>
      <c r="H1169" s="42" t="s">
        <v>1491</v>
      </c>
    </row>
    <row r="1170" spans="2:8" ht="18" customHeight="1" x14ac:dyDescent="0.25">
      <c r="B1170" s="40">
        <f>SUBTOTAL(3,C$4:C1170)</f>
        <v>1133</v>
      </c>
      <c r="C1170" s="41">
        <v>24220180</v>
      </c>
      <c r="D1170" s="41" t="s">
        <v>1644</v>
      </c>
      <c r="E1170" s="41" t="s">
        <v>31</v>
      </c>
      <c r="F1170" s="41" t="s">
        <v>1611</v>
      </c>
      <c r="G1170" s="41" t="s">
        <v>24</v>
      </c>
      <c r="H1170" s="42"/>
    </row>
    <row r="1171" spans="2:8" ht="18" customHeight="1" x14ac:dyDescent="0.25">
      <c r="B1171" s="40">
        <f>SUBTOTAL(3,C$4:C1171)</f>
        <v>1134</v>
      </c>
      <c r="C1171" s="41">
        <v>24121660</v>
      </c>
      <c r="D1171" s="41" t="s">
        <v>1645</v>
      </c>
      <c r="E1171" s="41" t="s">
        <v>31</v>
      </c>
      <c r="F1171" s="41" t="s">
        <v>1611</v>
      </c>
      <c r="G1171" s="41" t="s">
        <v>24</v>
      </c>
      <c r="H1171" s="42"/>
    </row>
    <row r="1172" spans="2:8" ht="18" customHeight="1" x14ac:dyDescent="0.25">
      <c r="B1172" s="40">
        <f>SUBTOTAL(3,C$4:C1172)</f>
        <v>1135</v>
      </c>
      <c r="C1172" s="41">
        <v>24024669</v>
      </c>
      <c r="D1172" s="41" t="s">
        <v>1703</v>
      </c>
      <c r="E1172" s="41" t="s">
        <v>31</v>
      </c>
      <c r="F1172" s="41" t="s">
        <v>1611</v>
      </c>
      <c r="G1172" s="41" t="s">
        <v>24</v>
      </c>
      <c r="H1172" s="42"/>
    </row>
    <row r="1173" spans="2:8" ht="18" customHeight="1" x14ac:dyDescent="0.25">
      <c r="B1173" s="40">
        <f>SUBTOTAL(3,C$4:C1173)</f>
        <v>1136</v>
      </c>
      <c r="C1173" s="41">
        <v>24020368</v>
      </c>
      <c r="D1173" s="41" t="s">
        <v>1646</v>
      </c>
      <c r="E1173" s="41" t="s">
        <v>31</v>
      </c>
      <c r="F1173" s="41" t="s">
        <v>1611</v>
      </c>
      <c r="G1173" s="41" t="s">
        <v>24</v>
      </c>
      <c r="H1173" s="42"/>
    </row>
    <row r="1174" spans="2:8" ht="18" customHeight="1" x14ac:dyDescent="0.25">
      <c r="B1174" s="40">
        <f>SUBTOTAL(3,C$4:C1174)</f>
        <v>1137</v>
      </c>
      <c r="C1174" s="41">
        <v>24023952</v>
      </c>
      <c r="D1174" s="41" t="s">
        <v>1647</v>
      </c>
      <c r="E1174" s="41" t="s">
        <v>31</v>
      </c>
      <c r="F1174" s="41" t="s">
        <v>1611</v>
      </c>
      <c r="G1174" s="41" t="s">
        <v>24</v>
      </c>
      <c r="H1174" s="42"/>
    </row>
    <row r="1175" spans="2:8" ht="18" customHeight="1" x14ac:dyDescent="0.25">
      <c r="B1175" s="40">
        <f>SUBTOTAL(3,C$4:C1175)</f>
        <v>1138</v>
      </c>
      <c r="C1175" s="41">
        <v>24026231</v>
      </c>
      <c r="D1175" s="41" t="s">
        <v>1648</v>
      </c>
      <c r="E1175" s="41" t="s">
        <v>31</v>
      </c>
      <c r="F1175" s="41" t="s">
        <v>1611</v>
      </c>
      <c r="G1175" s="41" t="s">
        <v>24</v>
      </c>
      <c r="H1175" s="42"/>
    </row>
    <row r="1176" spans="2:8" ht="18" customHeight="1" x14ac:dyDescent="0.25">
      <c r="B1176" s="40">
        <f>SUBTOTAL(3,C$4:C1176)</f>
        <v>1139</v>
      </c>
      <c r="C1176" s="41">
        <v>24028892</v>
      </c>
      <c r="D1176" s="41" t="s">
        <v>1649</v>
      </c>
      <c r="E1176" s="41" t="s">
        <v>31</v>
      </c>
      <c r="F1176" s="41" t="s">
        <v>1611</v>
      </c>
      <c r="G1176" s="41" t="s">
        <v>24</v>
      </c>
      <c r="H1176" s="42"/>
    </row>
    <row r="1177" spans="2:8" ht="18" customHeight="1" x14ac:dyDescent="0.25">
      <c r="B1177" s="40">
        <f>SUBTOTAL(3,C$4:C1177)</f>
        <v>1140</v>
      </c>
      <c r="C1177" s="41">
        <v>24035132</v>
      </c>
      <c r="D1177" s="41" t="s">
        <v>1650</v>
      </c>
      <c r="E1177" s="41" t="s">
        <v>31</v>
      </c>
      <c r="F1177" s="41" t="s">
        <v>1611</v>
      </c>
      <c r="G1177" s="41" t="s">
        <v>24</v>
      </c>
      <c r="H1177" s="42" t="s">
        <v>1461</v>
      </c>
    </row>
    <row r="1178" spans="2:8" ht="18" customHeight="1" x14ac:dyDescent="0.25">
      <c r="B1178" s="40">
        <f>SUBTOTAL(3,C$4:C1178)</f>
        <v>1141</v>
      </c>
      <c r="C1178" s="41">
        <v>24035238</v>
      </c>
      <c r="D1178" s="41" t="s">
        <v>1651</v>
      </c>
      <c r="E1178" s="41" t="s">
        <v>31</v>
      </c>
      <c r="F1178" s="41" t="s">
        <v>1611</v>
      </c>
      <c r="G1178" s="41" t="s">
        <v>24</v>
      </c>
      <c r="H1178" s="42" t="s">
        <v>1619</v>
      </c>
    </row>
    <row r="1179" spans="2:8" ht="18" customHeight="1" x14ac:dyDescent="0.25">
      <c r="B1179" s="40">
        <f>SUBTOTAL(3,C$4:C1179)</f>
        <v>1142</v>
      </c>
      <c r="C1179" s="41">
        <v>1</v>
      </c>
      <c r="D1179" s="41" t="s">
        <v>1652</v>
      </c>
      <c r="E1179" s="41" t="s">
        <v>31</v>
      </c>
      <c r="F1179" s="41" t="s">
        <v>1611</v>
      </c>
      <c r="G1179" s="41" t="s">
        <v>24</v>
      </c>
      <c r="H1179" s="42"/>
    </row>
    <row r="1180" spans="2:8" ht="18" customHeight="1" x14ac:dyDescent="0.25">
      <c r="B1180" s="40">
        <f>SUBTOTAL(3,C$4:C1180)</f>
        <v>1143</v>
      </c>
      <c r="C1180" s="41">
        <v>24037435</v>
      </c>
      <c r="D1180" s="41" t="s">
        <v>1653</v>
      </c>
      <c r="E1180" s="41" t="s">
        <v>31</v>
      </c>
      <c r="F1180" s="41" t="s">
        <v>1611</v>
      </c>
      <c r="G1180" s="41" t="s">
        <v>24</v>
      </c>
      <c r="H1180" s="42"/>
    </row>
    <row r="1181" spans="2:8" ht="18" customHeight="1" x14ac:dyDescent="0.25">
      <c r="B1181" s="40">
        <f>SUBTOTAL(3,C$4:C1181)</f>
        <v>1144</v>
      </c>
      <c r="C1181" s="41">
        <v>24021444</v>
      </c>
      <c r="D1181" s="41" t="s">
        <v>1654</v>
      </c>
      <c r="E1181" s="41" t="s">
        <v>31</v>
      </c>
      <c r="F1181" s="41" t="s">
        <v>1611</v>
      </c>
      <c r="G1181" s="41" t="s">
        <v>24</v>
      </c>
      <c r="H1181" s="42"/>
    </row>
    <row r="1182" spans="2:8" ht="18" customHeight="1" x14ac:dyDescent="0.25">
      <c r="B1182" s="40">
        <f>SUBTOTAL(3,C$4:C1182)</f>
        <v>1145</v>
      </c>
      <c r="C1182" s="41">
        <v>24037331</v>
      </c>
      <c r="D1182" s="41" t="s">
        <v>1655</v>
      </c>
      <c r="E1182" s="41" t="s">
        <v>31</v>
      </c>
      <c r="F1182" s="41" t="s">
        <v>1611</v>
      </c>
      <c r="G1182" s="41" t="s">
        <v>24</v>
      </c>
      <c r="H1182" s="42" t="s">
        <v>1461</v>
      </c>
    </row>
    <row r="1183" spans="2:8" ht="18" customHeight="1" x14ac:dyDescent="0.25">
      <c r="B1183" s="40">
        <f>SUBTOTAL(3,C$4:C1183)</f>
        <v>1146</v>
      </c>
      <c r="C1183" s="41">
        <v>24036686</v>
      </c>
      <c r="D1183" s="41" t="s">
        <v>1656</v>
      </c>
      <c r="E1183" s="41" t="s">
        <v>31</v>
      </c>
      <c r="F1183" s="41" t="s">
        <v>1611</v>
      </c>
      <c r="G1183" s="41" t="s">
        <v>24</v>
      </c>
      <c r="H1183" s="42"/>
    </row>
    <row r="1184" spans="2:8" ht="18" customHeight="1" x14ac:dyDescent="0.25">
      <c r="B1184" s="40">
        <f>SUBTOTAL(3,C$4:C1184)</f>
        <v>1147</v>
      </c>
      <c r="C1184" s="41">
        <v>24023460</v>
      </c>
      <c r="D1184" s="41" t="s">
        <v>1657</v>
      </c>
      <c r="E1184" s="41" t="s">
        <v>31</v>
      </c>
      <c r="F1184" s="41" t="s">
        <v>1611</v>
      </c>
      <c r="G1184" s="41" t="s">
        <v>24</v>
      </c>
      <c r="H1184" s="42" t="s">
        <v>1461</v>
      </c>
    </row>
    <row r="1185" spans="2:8" ht="18" customHeight="1" x14ac:dyDescent="0.25">
      <c r="B1185" s="40">
        <f>SUBTOTAL(3,C$4:C1185)</f>
        <v>1148</v>
      </c>
      <c r="C1185" s="41">
        <v>24027102</v>
      </c>
      <c r="D1185" s="41" t="s">
        <v>1658</v>
      </c>
      <c r="E1185" s="41" t="s">
        <v>31</v>
      </c>
      <c r="F1185" s="41" t="s">
        <v>1611</v>
      </c>
      <c r="G1185" s="41" t="s">
        <v>24</v>
      </c>
      <c r="H1185" s="42"/>
    </row>
    <row r="1186" spans="2:8" ht="18" customHeight="1" x14ac:dyDescent="0.25">
      <c r="B1186" s="40">
        <f>SUBTOTAL(3,C$4:C1186)</f>
        <v>1149</v>
      </c>
      <c r="C1186" s="41">
        <v>24030334</v>
      </c>
      <c r="D1186" s="41" t="s">
        <v>1659</v>
      </c>
      <c r="E1186" s="41" t="s">
        <v>31</v>
      </c>
      <c r="F1186" s="41" t="s">
        <v>1611</v>
      </c>
      <c r="G1186" s="41" t="s">
        <v>24</v>
      </c>
      <c r="H1186" s="42"/>
    </row>
    <row r="1187" spans="2:8" ht="18" customHeight="1" x14ac:dyDescent="0.25">
      <c r="B1187" s="40">
        <f>SUBTOTAL(3,C$4:C1187)</f>
        <v>1150</v>
      </c>
      <c r="C1187" s="41">
        <v>24275652</v>
      </c>
      <c r="D1187" s="41" t="s">
        <v>1660</v>
      </c>
      <c r="E1187" s="41" t="s">
        <v>31</v>
      </c>
      <c r="F1187" s="41" t="s">
        <v>1611</v>
      </c>
      <c r="G1187" s="41" t="s">
        <v>24</v>
      </c>
      <c r="H1187" s="42"/>
    </row>
    <row r="1188" spans="2:8" ht="18" customHeight="1" x14ac:dyDescent="0.25">
      <c r="B1188" s="40">
        <f>SUBTOTAL(3,C$4:C1188)</f>
        <v>1151</v>
      </c>
      <c r="C1188" s="41">
        <v>24220039</v>
      </c>
      <c r="D1188" s="41" t="s">
        <v>1661</v>
      </c>
      <c r="E1188" s="41" t="s">
        <v>31</v>
      </c>
      <c r="F1188" s="41" t="s">
        <v>1611</v>
      </c>
      <c r="G1188" s="41" t="s">
        <v>24</v>
      </c>
      <c r="H1188" s="42"/>
    </row>
    <row r="1189" spans="2:8" ht="18" customHeight="1" x14ac:dyDescent="0.25">
      <c r="B1189" s="40">
        <f>SUBTOTAL(3,C$4:C1189)</f>
        <v>1152</v>
      </c>
      <c r="C1189" s="41">
        <v>24025688</v>
      </c>
      <c r="D1189" s="41" t="s">
        <v>1662</v>
      </c>
      <c r="E1189" s="41" t="s">
        <v>31</v>
      </c>
      <c r="F1189" s="41" t="s">
        <v>1611</v>
      </c>
      <c r="G1189" s="41" t="s">
        <v>24</v>
      </c>
      <c r="H1189" s="42"/>
    </row>
    <row r="1190" spans="2:8" ht="18" customHeight="1" x14ac:dyDescent="0.25">
      <c r="B1190" s="40">
        <f>SUBTOTAL(3,C$4:C1190)</f>
        <v>1153</v>
      </c>
      <c r="C1190" s="41">
        <v>24024689</v>
      </c>
      <c r="D1190" s="41" t="s">
        <v>1663</v>
      </c>
      <c r="E1190" s="41" t="s">
        <v>31</v>
      </c>
      <c r="F1190" s="41" t="s">
        <v>1611</v>
      </c>
      <c r="G1190" s="41" t="s">
        <v>24</v>
      </c>
      <c r="H1190" s="42"/>
    </row>
    <row r="1191" spans="2:8" ht="18" customHeight="1" x14ac:dyDescent="0.25">
      <c r="B1191" s="40">
        <f>SUBTOTAL(3,C$4:C1191)</f>
        <v>1154</v>
      </c>
      <c r="C1191" s="41">
        <v>24030455</v>
      </c>
      <c r="D1191" s="41" t="s">
        <v>1664</v>
      </c>
      <c r="E1191" s="41" t="s">
        <v>31</v>
      </c>
      <c r="F1191" s="41" t="s">
        <v>1611</v>
      </c>
      <c r="G1191" s="41" t="s">
        <v>24</v>
      </c>
      <c r="H1191" s="42"/>
    </row>
    <row r="1192" spans="2:8" ht="18" customHeight="1" x14ac:dyDescent="0.25">
      <c r="B1192" s="40">
        <f>SUBTOTAL(3,C$4:C1192)</f>
        <v>1155</v>
      </c>
      <c r="C1192" s="41">
        <v>24027273</v>
      </c>
      <c r="D1192" s="41" t="s">
        <v>1666</v>
      </c>
      <c r="E1192" s="41" t="s">
        <v>31</v>
      </c>
      <c r="F1192" s="41" t="s">
        <v>1611</v>
      </c>
      <c r="G1192" s="41" t="s">
        <v>24</v>
      </c>
      <c r="H1192" s="42" t="s">
        <v>1461</v>
      </c>
    </row>
    <row r="1193" spans="2:8" ht="18" customHeight="1" x14ac:dyDescent="0.25">
      <c r="B1193" s="40">
        <f>SUBTOTAL(3,C$4:C1193)</f>
        <v>1156</v>
      </c>
      <c r="C1193" s="41">
        <v>24034987</v>
      </c>
      <c r="D1193" s="41" t="s">
        <v>1665</v>
      </c>
      <c r="E1193" s="41" t="s">
        <v>31</v>
      </c>
      <c r="F1193" s="41" t="s">
        <v>1611</v>
      </c>
      <c r="G1193" s="41" t="s">
        <v>24</v>
      </c>
      <c r="H1193" s="42"/>
    </row>
    <row r="1194" spans="2:8" ht="18" customHeight="1" x14ac:dyDescent="0.25">
      <c r="B1194" s="40">
        <f>SUBTOTAL(3,C$4:C1194)</f>
        <v>1157</v>
      </c>
      <c r="C1194" s="41">
        <v>24026228</v>
      </c>
      <c r="D1194" s="41" t="s">
        <v>1667</v>
      </c>
      <c r="E1194" s="41" t="s">
        <v>31</v>
      </c>
      <c r="F1194" s="41" t="s">
        <v>1611</v>
      </c>
      <c r="G1194" s="41" t="s">
        <v>24</v>
      </c>
      <c r="H1194" s="42"/>
    </row>
    <row r="1195" spans="2:8" ht="18" customHeight="1" x14ac:dyDescent="0.25">
      <c r="B1195" s="40">
        <f>SUBTOTAL(3,C$4:C1195)</f>
        <v>1158</v>
      </c>
      <c r="C1195" s="41">
        <v>24025392</v>
      </c>
      <c r="D1195" s="41" t="s">
        <v>1668</v>
      </c>
      <c r="E1195" s="41" t="s">
        <v>31</v>
      </c>
      <c r="F1195" s="41" t="s">
        <v>1611</v>
      </c>
      <c r="G1195" s="41" t="s">
        <v>24</v>
      </c>
      <c r="H1195" s="42"/>
    </row>
    <row r="1196" spans="2:8" ht="18" customHeight="1" x14ac:dyDescent="0.25">
      <c r="B1196" s="40">
        <f>SUBTOTAL(3,C$4:C1196)</f>
        <v>1159</v>
      </c>
      <c r="C1196" s="41">
        <v>24039919</v>
      </c>
      <c r="D1196" s="41" t="s">
        <v>1669</v>
      </c>
      <c r="E1196" s="41" t="s">
        <v>31</v>
      </c>
      <c r="F1196" s="41" t="s">
        <v>1611</v>
      </c>
      <c r="G1196" s="41" t="s">
        <v>24</v>
      </c>
      <c r="H1196" s="42"/>
    </row>
    <row r="1197" spans="2:8" ht="18" customHeight="1" x14ac:dyDescent="0.25">
      <c r="B1197" s="40">
        <f>SUBTOTAL(3,C$4:C1197)</f>
        <v>1160</v>
      </c>
      <c r="C1197" s="41">
        <v>2</v>
      </c>
      <c r="D1197" s="41" t="s">
        <v>1670</v>
      </c>
      <c r="E1197" s="41" t="s">
        <v>31</v>
      </c>
      <c r="F1197" s="41" t="s">
        <v>1611</v>
      </c>
      <c r="G1197" s="41" t="s">
        <v>24</v>
      </c>
      <c r="H1197" s="42" t="s">
        <v>1461</v>
      </c>
    </row>
    <row r="1198" spans="2:8" ht="18" customHeight="1" x14ac:dyDescent="0.25">
      <c r="B1198" s="40">
        <f>SUBTOTAL(3,C$4:C1198)</f>
        <v>1161</v>
      </c>
      <c r="C1198" s="41">
        <v>24231232</v>
      </c>
      <c r="D1198" s="41" t="s">
        <v>1671</v>
      </c>
      <c r="E1198" s="41" t="s">
        <v>31</v>
      </c>
      <c r="F1198" s="41" t="s">
        <v>1611</v>
      </c>
      <c r="G1198" s="41" t="s">
        <v>24</v>
      </c>
      <c r="H1198" s="42"/>
    </row>
    <row r="1199" spans="2:8" ht="18" customHeight="1" x14ac:dyDescent="0.25">
      <c r="B1199" s="40">
        <f>SUBTOTAL(3,C$4:C1199)</f>
        <v>1162</v>
      </c>
      <c r="C1199" s="41">
        <v>24023690</v>
      </c>
      <c r="D1199" s="41" t="s">
        <v>1672</v>
      </c>
      <c r="E1199" s="41" t="s">
        <v>31</v>
      </c>
      <c r="F1199" s="41" t="s">
        <v>1611</v>
      </c>
      <c r="G1199" s="41" t="s">
        <v>24</v>
      </c>
      <c r="H1199" s="42"/>
    </row>
    <row r="1200" spans="2:8" ht="18" customHeight="1" x14ac:dyDescent="0.25">
      <c r="B1200" s="40">
        <f>SUBTOTAL(3,C$4:C1200)</f>
        <v>1163</v>
      </c>
      <c r="C1200" s="41">
        <v>24033419</v>
      </c>
      <c r="D1200" s="41" t="s">
        <v>1673</v>
      </c>
      <c r="E1200" s="41" t="s">
        <v>31</v>
      </c>
      <c r="F1200" s="41" t="s">
        <v>1611</v>
      </c>
      <c r="G1200" s="41" t="s">
        <v>24</v>
      </c>
      <c r="H1200" s="42"/>
    </row>
    <row r="1201" spans="2:8" ht="18" customHeight="1" x14ac:dyDescent="0.25">
      <c r="B1201" s="40">
        <f>SUBTOTAL(3,C$4:C1201)</f>
        <v>1164</v>
      </c>
      <c r="C1201" s="41">
        <v>24022716</v>
      </c>
      <c r="D1201" s="41" t="s">
        <v>1674</v>
      </c>
      <c r="E1201" s="41" t="s">
        <v>31</v>
      </c>
      <c r="F1201" s="41" t="s">
        <v>1611</v>
      </c>
      <c r="G1201" s="41" t="s">
        <v>24</v>
      </c>
      <c r="H1201" s="42"/>
    </row>
    <row r="1202" spans="2:8" ht="18" customHeight="1" x14ac:dyDescent="0.25">
      <c r="B1202" s="40">
        <f>SUBTOTAL(3,C$4:C1202)</f>
        <v>1165</v>
      </c>
      <c r="C1202" s="41">
        <v>2429225</v>
      </c>
      <c r="D1202" s="41" t="s">
        <v>1675</v>
      </c>
      <c r="E1202" s="41" t="s">
        <v>31</v>
      </c>
      <c r="F1202" s="41" t="s">
        <v>1676</v>
      </c>
      <c r="G1202" s="41" t="s">
        <v>24</v>
      </c>
      <c r="H1202" s="42"/>
    </row>
    <row r="1203" spans="2:8" ht="18" customHeight="1" x14ac:dyDescent="0.25">
      <c r="B1203" s="40">
        <f>SUBTOTAL(3,C$4:C1203)</f>
        <v>1166</v>
      </c>
      <c r="C1203" s="41">
        <v>24030976</v>
      </c>
      <c r="D1203" s="41" t="s">
        <v>1677</v>
      </c>
      <c r="E1203" s="41" t="s">
        <v>31</v>
      </c>
      <c r="F1203" s="41" t="s">
        <v>1676</v>
      </c>
      <c r="G1203" s="41" t="s">
        <v>24</v>
      </c>
      <c r="H1203" s="42"/>
    </row>
    <row r="1204" spans="2:8" ht="18" customHeight="1" x14ac:dyDescent="0.25">
      <c r="B1204" s="40">
        <f>SUBTOTAL(3,C$4:C1204)</f>
        <v>1167</v>
      </c>
      <c r="C1204" s="41">
        <v>24025040</v>
      </c>
      <c r="D1204" s="41" t="s">
        <v>1678</v>
      </c>
      <c r="E1204" s="41" t="s">
        <v>31</v>
      </c>
      <c r="F1204" s="41" t="s">
        <v>1676</v>
      </c>
      <c r="G1204" s="41" t="s">
        <v>24</v>
      </c>
      <c r="H1204" s="42"/>
    </row>
    <row r="1205" spans="2:8" ht="18" customHeight="1" x14ac:dyDescent="0.25">
      <c r="B1205" s="40">
        <f>SUBTOTAL(3,C$4:C1205)</f>
        <v>1168</v>
      </c>
      <c r="C1205" s="41">
        <v>24036164</v>
      </c>
      <c r="D1205" s="41" t="s">
        <v>1679</v>
      </c>
      <c r="E1205" s="41" t="s">
        <v>31</v>
      </c>
      <c r="F1205" s="41" t="s">
        <v>1676</v>
      </c>
      <c r="G1205" s="41" t="s">
        <v>24</v>
      </c>
      <c r="H1205" s="42" t="s">
        <v>1461</v>
      </c>
    </row>
    <row r="1206" spans="2:8" ht="18" customHeight="1" x14ac:dyDescent="0.25">
      <c r="B1206" s="40">
        <f>SUBTOTAL(3,C$4:C1206)</f>
        <v>1169</v>
      </c>
      <c r="C1206" s="41">
        <v>24035098</v>
      </c>
      <c r="D1206" s="41" t="s">
        <v>1680</v>
      </c>
      <c r="E1206" s="41" t="s">
        <v>31</v>
      </c>
      <c r="F1206" s="41" t="s">
        <v>1676</v>
      </c>
      <c r="G1206" s="41" t="s">
        <v>24</v>
      </c>
      <c r="H1206" s="42"/>
    </row>
    <row r="1207" spans="2:8" ht="18" customHeight="1" x14ac:dyDescent="0.25">
      <c r="B1207" s="40">
        <f>SUBTOTAL(3,C$4:C1207)</f>
        <v>1170</v>
      </c>
      <c r="C1207" s="41">
        <v>24035476</v>
      </c>
      <c r="D1207" s="41" t="s">
        <v>1681</v>
      </c>
      <c r="E1207" s="41" t="s">
        <v>31</v>
      </c>
      <c r="F1207" s="41" t="s">
        <v>1676</v>
      </c>
      <c r="G1207" s="41" t="s">
        <v>24</v>
      </c>
      <c r="H1207" s="42"/>
    </row>
    <row r="1208" spans="2:8" ht="18" customHeight="1" x14ac:dyDescent="0.25">
      <c r="B1208" s="40">
        <f>SUBTOTAL(3,C$4:C1208)</f>
        <v>1171</v>
      </c>
      <c r="C1208" s="41">
        <v>24037018</v>
      </c>
      <c r="D1208" s="41" t="s">
        <v>1682</v>
      </c>
      <c r="E1208" s="41" t="s">
        <v>31</v>
      </c>
      <c r="F1208" s="41" t="s">
        <v>1676</v>
      </c>
      <c r="G1208" s="41" t="s">
        <v>24</v>
      </c>
      <c r="H1208" s="42"/>
    </row>
    <row r="1209" spans="2:8" ht="18" customHeight="1" x14ac:dyDescent="0.25">
      <c r="B1209" s="40">
        <f>SUBTOTAL(3,C$4:C1209)</f>
        <v>1172</v>
      </c>
      <c r="C1209" s="41">
        <v>24030051</v>
      </c>
      <c r="D1209" s="41" t="s">
        <v>1683</v>
      </c>
      <c r="E1209" s="41" t="s">
        <v>31</v>
      </c>
      <c r="F1209" s="41" t="s">
        <v>1676</v>
      </c>
      <c r="G1209" s="41" t="s">
        <v>24</v>
      </c>
      <c r="H1209" s="42"/>
    </row>
    <row r="1210" spans="2:8" ht="18" customHeight="1" x14ac:dyDescent="0.25">
      <c r="B1210" s="40">
        <f>SUBTOTAL(3,C$4:C1210)</f>
        <v>1173</v>
      </c>
      <c r="C1210" s="41">
        <v>24034079</v>
      </c>
      <c r="D1210" s="41" t="s">
        <v>1684</v>
      </c>
      <c r="E1210" s="41" t="s">
        <v>31</v>
      </c>
      <c r="F1210" s="41" t="s">
        <v>1676</v>
      </c>
      <c r="G1210" s="41" t="s">
        <v>24</v>
      </c>
      <c r="H1210" s="42"/>
    </row>
    <row r="1211" spans="2:8" ht="18" customHeight="1" x14ac:dyDescent="0.25">
      <c r="B1211" s="40">
        <f>SUBTOTAL(3,C$4:C1211)</f>
        <v>1174</v>
      </c>
      <c r="C1211" s="41">
        <v>24035861</v>
      </c>
      <c r="D1211" s="41" t="s">
        <v>1685</v>
      </c>
      <c r="E1211" s="41" t="s">
        <v>31</v>
      </c>
      <c r="F1211" s="41" t="s">
        <v>1676</v>
      </c>
      <c r="G1211" s="41" t="s">
        <v>24</v>
      </c>
      <c r="H1211" s="42"/>
    </row>
    <row r="1212" spans="2:8" ht="18" customHeight="1" x14ac:dyDescent="0.25">
      <c r="B1212" s="40">
        <f>SUBTOTAL(3,C$4:C1212)</f>
        <v>1175</v>
      </c>
      <c r="C1212" s="41">
        <v>24220044</v>
      </c>
      <c r="D1212" s="41" t="s">
        <v>1686</v>
      </c>
      <c r="E1212" s="41" t="s">
        <v>31</v>
      </c>
      <c r="F1212" s="41" t="s">
        <v>1676</v>
      </c>
      <c r="G1212" s="41" t="s">
        <v>24</v>
      </c>
      <c r="H1212" s="42"/>
    </row>
    <row r="1213" spans="2:8" ht="18" customHeight="1" x14ac:dyDescent="0.25">
      <c r="B1213" s="40">
        <f>SUBTOTAL(3,C$4:C1213)</f>
        <v>1176</v>
      </c>
      <c r="C1213" s="41">
        <v>24036046</v>
      </c>
      <c r="D1213" s="41" t="s">
        <v>1687</v>
      </c>
      <c r="E1213" s="41" t="s">
        <v>31</v>
      </c>
      <c r="F1213" s="41" t="s">
        <v>1676</v>
      </c>
      <c r="G1213" s="41" t="s">
        <v>24</v>
      </c>
      <c r="H1213" s="42"/>
    </row>
    <row r="1214" spans="2:8" ht="18" customHeight="1" x14ac:dyDescent="0.25">
      <c r="B1214" s="40">
        <f>SUBTOTAL(3,C$4:C1214)</f>
        <v>1177</v>
      </c>
      <c r="C1214" s="41">
        <v>24019120</v>
      </c>
      <c r="D1214" s="41" t="s">
        <v>1688</v>
      </c>
      <c r="E1214" s="41" t="s">
        <v>31</v>
      </c>
      <c r="F1214" s="41" t="s">
        <v>1676</v>
      </c>
      <c r="G1214" s="41" t="s">
        <v>24</v>
      </c>
      <c r="H1214" s="42"/>
    </row>
    <row r="1215" spans="2:8" ht="18" customHeight="1" x14ac:dyDescent="0.25">
      <c r="B1215" s="40">
        <f>SUBTOTAL(3,C$4:C1215)</f>
        <v>1178</v>
      </c>
      <c r="C1215" s="41">
        <v>24020446</v>
      </c>
      <c r="D1215" s="41" t="s">
        <v>1689</v>
      </c>
      <c r="E1215" s="41" t="s">
        <v>31</v>
      </c>
      <c r="F1215" s="41" t="s">
        <v>1676</v>
      </c>
      <c r="G1215" s="41" t="s">
        <v>24</v>
      </c>
      <c r="H1215" s="42"/>
    </row>
    <row r="1216" spans="2:8" ht="18" customHeight="1" x14ac:dyDescent="0.25">
      <c r="B1216" s="40">
        <f>SUBTOTAL(3,C$4:C1216)</f>
        <v>1179</v>
      </c>
      <c r="C1216" s="41">
        <v>24250662</v>
      </c>
      <c r="D1216" s="41" t="s">
        <v>1690</v>
      </c>
      <c r="E1216" s="41" t="s">
        <v>31</v>
      </c>
      <c r="F1216" s="41" t="s">
        <v>1676</v>
      </c>
      <c r="G1216" s="41" t="s">
        <v>24</v>
      </c>
      <c r="H1216" s="42"/>
    </row>
    <row r="1217" spans="2:8" ht="18" customHeight="1" x14ac:dyDescent="0.25">
      <c r="B1217" s="40">
        <f>SUBTOTAL(3,C$4:C1217)</f>
        <v>1180</v>
      </c>
      <c r="C1217" s="41">
        <v>24035667</v>
      </c>
      <c r="D1217" s="41" t="s">
        <v>1691</v>
      </c>
      <c r="E1217" s="41" t="s">
        <v>31</v>
      </c>
      <c r="F1217" s="41" t="s">
        <v>1676</v>
      </c>
      <c r="G1217" s="41" t="s">
        <v>24</v>
      </c>
      <c r="H1217" s="42"/>
    </row>
    <row r="1218" spans="2:8" ht="18" customHeight="1" x14ac:dyDescent="0.25">
      <c r="B1218" s="40">
        <f>SUBTOTAL(3,C$4:C1218)</f>
        <v>1181</v>
      </c>
      <c r="C1218" s="41">
        <v>24026544</v>
      </c>
      <c r="D1218" s="41" t="s">
        <v>1692</v>
      </c>
      <c r="E1218" s="41" t="s">
        <v>31</v>
      </c>
      <c r="F1218" s="41" t="s">
        <v>1676</v>
      </c>
      <c r="G1218" s="41" t="s">
        <v>24</v>
      </c>
      <c r="H1218" s="42"/>
    </row>
    <row r="1219" spans="2:8" ht="18" customHeight="1" x14ac:dyDescent="0.25">
      <c r="B1219" s="40">
        <f>SUBTOTAL(3,C$4:C1219)</f>
        <v>1182</v>
      </c>
      <c r="C1219" s="41">
        <v>24033508</v>
      </c>
      <c r="D1219" s="41" t="s">
        <v>1693</v>
      </c>
      <c r="E1219" s="41" t="s">
        <v>31</v>
      </c>
      <c r="F1219" s="41" t="s">
        <v>1676</v>
      </c>
      <c r="G1219" s="41" t="s">
        <v>24</v>
      </c>
      <c r="H1219" s="42"/>
    </row>
    <row r="1220" spans="2:8" ht="18" customHeight="1" x14ac:dyDescent="0.25">
      <c r="B1220" s="40">
        <f>SUBTOTAL(3,C$4:C1220)</f>
        <v>1183</v>
      </c>
      <c r="C1220" s="41">
        <v>24170950</v>
      </c>
      <c r="D1220" s="41" t="s">
        <v>1735</v>
      </c>
      <c r="E1220" s="41" t="s">
        <v>31</v>
      </c>
      <c r="F1220" s="41" t="s">
        <v>1676</v>
      </c>
      <c r="G1220" s="41" t="s">
        <v>24</v>
      </c>
      <c r="H1220" s="42"/>
    </row>
    <row r="1221" spans="2:8" ht="18" customHeight="1" x14ac:dyDescent="0.25">
      <c r="B1221" s="40">
        <f>SUBTOTAL(3,C$4:C1221)</f>
        <v>1184</v>
      </c>
      <c r="C1221" s="41">
        <v>24022754</v>
      </c>
      <c r="D1221" s="41" t="s">
        <v>1694</v>
      </c>
      <c r="E1221" s="41" t="s">
        <v>31</v>
      </c>
      <c r="F1221" s="41" t="s">
        <v>1676</v>
      </c>
      <c r="G1221" s="41" t="s">
        <v>24</v>
      </c>
      <c r="H1221" s="42"/>
    </row>
    <row r="1222" spans="2:8" ht="18" customHeight="1" x14ac:dyDescent="0.25">
      <c r="B1222" s="40">
        <f>SUBTOTAL(3,C$4:C1222)</f>
        <v>1185</v>
      </c>
      <c r="C1222" s="41">
        <v>24024286</v>
      </c>
      <c r="D1222" s="41" t="s">
        <v>1695</v>
      </c>
      <c r="E1222" s="41" t="s">
        <v>31</v>
      </c>
      <c r="F1222" s="41" t="s">
        <v>1676</v>
      </c>
      <c r="G1222" s="41" t="s">
        <v>24</v>
      </c>
      <c r="H1222" s="42"/>
    </row>
    <row r="1223" spans="2:8" ht="18" customHeight="1" x14ac:dyDescent="0.25">
      <c r="B1223" s="40">
        <f>SUBTOTAL(3,C$4:C1223)</f>
        <v>1186</v>
      </c>
      <c r="C1223" s="41">
        <v>24032490</v>
      </c>
      <c r="D1223" s="41" t="s">
        <v>1696</v>
      </c>
      <c r="E1223" s="41" t="s">
        <v>31</v>
      </c>
      <c r="F1223" s="41" t="s">
        <v>1676</v>
      </c>
      <c r="G1223" s="41" t="s">
        <v>24</v>
      </c>
      <c r="H1223" s="42" t="s">
        <v>1491</v>
      </c>
    </row>
    <row r="1224" spans="2:8" ht="18" customHeight="1" x14ac:dyDescent="0.25">
      <c r="B1224" s="40">
        <f>SUBTOTAL(3,C$4:C1224)</f>
        <v>1187</v>
      </c>
      <c r="C1224" s="41">
        <v>24288781</v>
      </c>
      <c r="D1224" s="41" t="s">
        <v>1697</v>
      </c>
      <c r="E1224" s="41" t="s">
        <v>31</v>
      </c>
      <c r="F1224" s="41" t="s">
        <v>1676</v>
      </c>
      <c r="G1224" s="41" t="s">
        <v>24</v>
      </c>
      <c r="H1224" s="42"/>
    </row>
    <row r="1225" spans="2:8" ht="18" customHeight="1" x14ac:dyDescent="0.25">
      <c r="B1225" s="40">
        <f>SUBTOTAL(3,C$4:C1225)</f>
        <v>1188</v>
      </c>
      <c r="C1225" s="41">
        <v>24022590</v>
      </c>
      <c r="D1225" s="41" t="s">
        <v>1698</v>
      </c>
      <c r="E1225" s="41" t="s">
        <v>31</v>
      </c>
      <c r="F1225" s="41" t="s">
        <v>1676</v>
      </c>
      <c r="G1225" s="41" t="s">
        <v>24</v>
      </c>
      <c r="H1225" s="42"/>
    </row>
    <row r="1226" spans="2:8" ht="18" customHeight="1" x14ac:dyDescent="0.25">
      <c r="B1226" s="40">
        <f>SUBTOTAL(3,C$4:C1226)</f>
        <v>1189</v>
      </c>
      <c r="C1226" s="41">
        <v>24019538</v>
      </c>
      <c r="D1226" s="41" t="s">
        <v>1699</v>
      </c>
      <c r="E1226" s="41" t="s">
        <v>31</v>
      </c>
      <c r="F1226" s="41" t="s">
        <v>1676</v>
      </c>
      <c r="G1226" s="41" t="s">
        <v>24</v>
      </c>
      <c r="H1226" s="42"/>
    </row>
    <row r="1227" spans="2:8" ht="18" customHeight="1" x14ac:dyDescent="0.25">
      <c r="B1227" s="40">
        <f>SUBTOTAL(3,C$4:C1227)</f>
        <v>1190</v>
      </c>
      <c r="C1227" s="41">
        <v>24029204</v>
      </c>
      <c r="D1227" s="41" t="s">
        <v>1700</v>
      </c>
      <c r="E1227" s="41" t="s">
        <v>31</v>
      </c>
      <c r="F1227" s="41" t="s">
        <v>1676</v>
      </c>
      <c r="G1227" s="41" t="s">
        <v>24</v>
      </c>
      <c r="H1227" s="42"/>
    </row>
    <row r="1228" spans="2:8" ht="18" customHeight="1" x14ac:dyDescent="0.25">
      <c r="B1228" s="40">
        <f>SUBTOTAL(3,C$4:C1228)</f>
        <v>1191</v>
      </c>
      <c r="C1228" s="41">
        <v>24120442</v>
      </c>
      <c r="D1228" s="41" t="s">
        <v>1745</v>
      </c>
      <c r="E1228" s="41" t="s">
        <v>31</v>
      </c>
      <c r="F1228" s="41" t="s">
        <v>1676</v>
      </c>
      <c r="G1228" s="41" t="s">
        <v>24</v>
      </c>
      <c r="H1228" s="42"/>
    </row>
    <row r="1229" spans="2:8" ht="18" customHeight="1" x14ac:dyDescent="0.25">
      <c r="B1229" s="40">
        <f>SUBTOTAL(3,C$4:C1229)</f>
        <v>1192</v>
      </c>
      <c r="C1229" s="41">
        <v>24021551</v>
      </c>
      <c r="D1229" s="41" t="s">
        <v>532</v>
      </c>
      <c r="E1229" s="41" t="s">
        <v>31</v>
      </c>
      <c r="F1229" s="41" t="s">
        <v>1676</v>
      </c>
      <c r="G1229" s="41" t="s">
        <v>24</v>
      </c>
      <c r="H1229" s="42" t="s">
        <v>1461</v>
      </c>
    </row>
    <row r="1230" spans="2:8" ht="18" customHeight="1" x14ac:dyDescent="0.25">
      <c r="B1230" s="40">
        <f>SUBTOTAL(3,C$4:C1230)</f>
        <v>1193</v>
      </c>
      <c r="C1230" s="41">
        <v>24031821</v>
      </c>
      <c r="D1230" s="41" t="s">
        <v>1701</v>
      </c>
      <c r="E1230" s="41" t="s">
        <v>31</v>
      </c>
      <c r="F1230" s="41" t="s">
        <v>1676</v>
      </c>
      <c r="G1230" s="41" t="s">
        <v>24</v>
      </c>
      <c r="H1230" s="42"/>
    </row>
    <row r="1231" spans="2:8" ht="18" customHeight="1" x14ac:dyDescent="0.25">
      <c r="B1231" s="40">
        <f>SUBTOTAL(3,C$4:C1231)</f>
        <v>1194</v>
      </c>
      <c r="C1231" s="41">
        <v>24255874</v>
      </c>
      <c r="D1231" s="41" t="s">
        <v>1702</v>
      </c>
      <c r="E1231" s="41" t="s">
        <v>31</v>
      </c>
      <c r="F1231" s="41" t="s">
        <v>1676</v>
      </c>
      <c r="G1231" s="41" t="s">
        <v>24</v>
      </c>
      <c r="H1231" s="42"/>
    </row>
    <row r="1232" spans="2:8" ht="18" customHeight="1" x14ac:dyDescent="0.25">
      <c r="B1232" s="40">
        <f>SUBTOTAL(3,C$4:C1232)</f>
        <v>1195</v>
      </c>
      <c r="C1232" s="41">
        <v>24027543</v>
      </c>
      <c r="D1232" s="41" t="s">
        <v>1704</v>
      </c>
      <c r="E1232" s="41" t="s">
        <v>31</v>
      </c>
      <c r="F1232" s="41" t="s">
        <v>1676</v>
      </c>
      <c r="G1232" s="41" t="s">
        <v>24</v>
      </c>
      <c r="H1232" s="42"/>
    </row>
    <row r="1233" spans="2:8" ht="18" customHeight="1" x14ac:dyDescent="0.25">
      <c r="B1233" s="40">
        <f>SUBTOTAL(3,C$4:C1233)</f>
        <v>1196</v>
      </c>
      <c r="C1233" s="41">
        <v>24026581</v>
      </c>
      <c r="D1233" s="41" t="s">
        <v>1705</v>
      </c>
      <c r="E1233" s="41" t="s">
        <v>31</v>
      </c>
      <c r="F1233" s="41" t="s">
        <v>1676</v>
      </c>
      <c r="G1233" s="41" t="s">
        <v>24</v>
      </c>
      <c r="H1233" s="42" t="s">
        <v>1491</v>
      </c>
    </row>
    <row r="1234" spans="2:8" ht="18" customHeight="1" x14ac:dyDescent="0.25">
      <c r="B1234" s="40">
        <f>SUBTOTAL(3,C$4:C1234)</f>
        <v>1197</v>
      </c>
      <c r="C1234" s="41">
        <v>24024673</v>
      </c>
      <c r="D1234" s="41" t="s">
        <v>1706</v>
      </c>
      <c r="E1234" s="41" t="s">
        <v>31</v>
      </c>
      <c r="F1234" s="41" t="s">
        <v>1676</v>
      </c>
      <c r="G1234" s="41" t="s">
        <v>24</v>
      </c>
      <c r="H1234" s="42"/>
    </row>
    <row r="1235" spans="2:8" ht="18" customHeight="1" x14ac:dyDescent="0.25">
      <c r="B1235" s="40">
        <f>SUBTOTAL(3,C$4:C1235)</f>
        <v>1198</v>
      </c>
      <c r="C1235" s="41">
        <v>24022161</v>
      </c>
      <c r="D1235" s="41" t="s">
        <v>1707</v>
      </c>
      <c r="E1235" s="41" t="s">
        <v>31</v>
      </c>
      <c r="F1235" s="41" t="s">
        <v>1676</v>
      </c>
      <c r="G1235" s="41" t="s">
        <v>24</v>
      </c>
      <c r="H1235" s="42"/>
    </row>
    <row r="1236" spans="2:8" ht="18" customHeight="1" x14ac:dyDescent="0.25">
      <c r="B1236" s="40">
        <f>SUBTOTAL(3,C$4:C1236)</f>
        <v>1199</v>
      </c>
      <c r="C1236" s="41">
        <v>24032064</v>
      </c>
      <c r="D1236" s="41" t="s">
        <v>1708</v>
      </c>
      <c r="E1236" s="41" t="s">
        <v>31</v>
      </c>
      <c r="F1236" s="41" t="s">
        <v>1676</v>
      </c>
      <c r="G1236" s="41" t="s">
        <v>24</v>
      </c>
      <c r="H1236" s="42"/>
    </row>
    <row r="1237" spans="2:8" ht="18" customHeight="1" x14ac:dyDescent="0.25">
      <c r="B1237" s="40">
        <f>SUBTOTAL(3,C$4:C1237)</f>
        <v>1200</v>
      </c>
      <c r="C1237" s="41">
        <v>24022165</v>
      </c>
      <c r="D1237" s="41" t="s">
        <v>1709</v>
      </c>
      <c r="E1237" s="41" t="s">
        <v>31</v>
      </c>
      <c r="F1237" s="41" t="s">
        <v>1676</v>
      </c>
      <c r="G1237" s="41" t="s">
        <v>24</v>
      </c>
      <c r="H1237" s="42" t="s">
        <v>1491</v>
      </c>
    </row>
    <row r="1238" spans="2:8" ht="18" customHeight="1" x14ac:dyDescent="0.25">
      <c r="B1238" s="40">
        <f>SUBTOTAL(3,C$4:C1238)</f>
        <v>1201</v>
      </c>
      <c r="C1238" s="41">
        <v>24019566</v>
      </c>
      <c r="D1238" s="41" t="s">
        <v>1710</v>
      </c>
      <c r="E1238" s="41" t="s">
        <v>31</v>
      </c>
      <c r="F1238" s="41" t="s">
        <v>1676</v>
      </c>
      <c r="G1238" s="41" t="s">
        <v>24</v>
      </c>
      <c r="H1238" s="42"/>
    </row>
    <row r="1239" spans="2:8" ht="18" customHeight="1" x14ac:dyDescent="0.25">
      <c r="B1239" s="40">
        <f>SUBTOTAL(3,C$4:C1239)</f>
        <v>1202</v>
      </c>
      <c r="C1239" s="41">
        <v>24036829</v>
      </c>
      <c r="D1239" s="41" t="s">
        <v>1712</v>
      </c>
      <c r="E1239" s="41" t="s">
        <v>31</v>
      </c>
      <c r="F1239" s="41" t="s">
        <v>1676</v>
      </c>
      <c r="G1239" s="41" t="s">
        <v>24</v>
      </c>
      <c r="H1239" s="42"/>
    </row>
    <row r="1240" spans="2:8" ht="18" customHeight="1" x14ac:dyDescent="0.25">
      <c r="B1240" s="40">
        <f>SUBTOTAL(3,C$4:C1240)</f>
        <v>1203</v>
      </c>
      <c r="C1240" s="41">
        <v>24035222</v>
      </c>
      <c r="D1240" s="41" t="s">
        <v>1713</v>
      </c>
      <c r="E1240" s="41" t="s">
        <v>31</v>
      </c>
      <c r="F1240" s="41" t="s">
        <v>1676</v>
      </c>
      <c r="G1240" s="41" t="s">
        <v>24</v>
      </c>
      <c r="H1240" s="42"/>
    </row>
    <row r="1241" spans="2:8" ht="18" customHeight="1" x14ac:dyDescent="0.25">
      <c r="B1241" s="40">
        <f>SUBTOTAL(3,C$4:C1241)</f>
        <v>1204</v>
      </c>
      <c r="C1241" s="41">
        <v>24052059</v>
      </c>
      <c r="D1241" s="41" t="s">
        <v>1714</v>
      </c>
      <c r="E1241" s="41" t="s">
        <v>31</v>
      </c>
      <c r="F1241" s="41" t="s">
        <v>1676</v>
      </c>
      <c r="G1241" s="41" t="s">
        <v>24</v>
      </c>
      <c r="H1241" s="42"/>
    </row>
    <row r="1242" spans="2:8" ht="18" customHeight="1" x14ac:dyDescent="0.25">
      <c r="B1242" s="40">
        <f>SUBTOTAL(3,C$4:C1242)</f>
        <v>1205</v>
      </c>
      <c r="C1242" s="41">
        <v>24035475</v>
      </c>
      <c r="D1242" s="41" t="s">
        <v>1715</v>
      </c>
      <c r="E1242" s="41" t="s">
        <v>31</v>
      </c>
      <c r="F1242" s="41" t="s">
        <v>1676</v>
      </c>
      <c r="G1242" s="41" t="s">
        <v>24</v>
      </c>
      <c r="H1242" s="42"/>
    </row>
    <row r="1243" spans="2:8" ht="18" customHeight="1" x14ac:dyDescent="0.25">
      <c r="B1243" s="40">
        <f>SUBTOTAL(3,C$4:C1243)</f>
        <v>1206</v>
      </c>
      <c r="C1243" s="41">
        <v>24036613</v>
      </c>
      <c r="D1243" s="41" t="s">
        <v>1716</v>
      </c>
      <c r="E1243" s="41" t="s">
        <v>31</v>
      </c>
      <c r="F1243" s="41" t="s">
        <v>1676</v>
      </c>
      <c r="G1243" s="41" t="s">
        <v>24</v>
      </c>
      <c r="H1243" s="42" t="s">
        <v>1461</v>
      </c>
    </row>
    <row r="1244" spans="2:8" ht="18" customHeight="1" x14ac:dyDescent="0.25">
      <c r="B1244" s="40">
        <f>SUBTOTAL(3,C$4:C1244)</f>
        <v>1207</v>
      </c>
      <c r="C1244" s="41">
        <v>24019555</v>
      </c>
      <c r="D1244" s="41" t="s">
        <v>1717</v>
      </c>
      <c r="E1244" s="41" t="s">
        <v>31</v>
      </c>
      <c r="F1244" s="41" t="s">
        <v>1676</v>
      </c>
      <c r="G1244" s="41" t="s">
        <v>24</v>
      </c>
      <c r="H1244" s="42"/>
    </row>
    <row r="1245" spans="2:8" ht="18" customHeight="1" x14ac:dyDescent="0.25">
      <c r="B1245" s="40">
        <f>SUBTOTAL(3,C$4:C1245)</f>
        <v>1208</v>
      </c>
      <c r="C1245" s="41">
        <v>24021234</v>
      </c>
      <c r="D1245" s="41" t="s">
        <v>1718</v>
      </c>
      <c r="E1245" s="41" t="s">
        <v>31</v>
      </c>
      <c r="F1245" s="41" t="s">
        <v>1676</v>
      </c>
      <c r="G1245" s="41" t="s">
        <v>24</v>
      </c>
      <c r="H1245" s="42"/>
    </row>
    <row r="1246" spans="2:8" ht="18" customHeight="1" x14ac:dyDescent="0.25">
      <c r="B1246" s="40">
        <f>SUBTOTAL(3,C$4:C1246)</f>
        <v>1209</v>
      </c>
      <c r="C1246" s="41">
        <v>24036282</v>
      </c>
      <c r="D1246" s="41" t="s">
        <v>1719</v>
      </c>
      <c r="E1246" s="41" t="s">
        <v>31</v>
      </c>
      <c r="F1246" s="41" t="s">
        <v>1676</v>
      </c>
      <c r="G1246" s="41" t="s">
        <v>24</v>
      </c>
      <c r="H1246" s="42"/>
    </row>
    <row r="1247" spans="2:8" ht="18" customHeight="1" x14ac:dyDescent="0.25">
      <c r="B1247" s="40">
        <f>SUBTOTAL(3,C$4:C1247)</f>
        <v>1210</v>
      </c>
      <c r="C1247" s="41">
        <v>24294493</v>
      </c>
      <c r="D1247" s="41" t="s">
        <v>1720</v>
      </c>
      <c r="E1247" s="41" t="s">
        <v>31</v>
      </c>
      <c r="F1247" s="41" t="s">
        <v>1676</v>
      </c>
      <c r="G1247" s="41" t="s">
        <v>24</v>
      </c>
      <c r="H1247" s="42"/>
    </row>
    <row r="1248" spans="2:8" ht="18" customHeight="1" x14ac:dyDescent="0.25">
      <c r="B1248" s="40">
        <f>SUBTOTAL(3,C$4:C1248)</f>
        <v>1211</v>
      </c>
      <c r="C1248" s="41">
        <v>24289283</v>
      </c>
      <c r="D1248" s="41" t="s">
        <v>1721</v>
      </c>
      <c r="E1248" s="41" t="s">
        <v>31</v>
      </c>
      <c r="F1248" s="41" t="s">
        <v>1676</v>
      </c>
      <c r="G1248" s="41" t="s">
        <v>24</v>
      </c>
      <c r="H1248" s="42"/>
    </row>
    <row r="1249" spans="2:8" ht="18" customHeight="1" x14ac:dyDescent="0.25">
      <c r="B1249" s="40">
        <f>SUBTOTAL(3,C$4:C1249)</f>
        <v>1212</v>
      </c>
      <c r="C1249" s="41">
        <v>24020998</v>
      </c>
      <c r="D1249" s="41" t="s">
        <v>1722</v>
      </c>
      <c r="E1249" s="41" t="s">
        <v>31</v>
      </c>
      <c r="F1249" s="41" t="s">
        <v>1676</v>
      </c>
      <c r="G1249" s="41" t="s">
        <v>24</v>
      </c>
      <c r="H1249" s="42"/>
    </row>
    <row r="1250" spans="2:8" ht="18" customHeight="1" x14ac:dyDescent="0.25">
      <c r="B1250" s="40">
        <f>SUBTOTAL(3,C$4:C1250)</f>
        <v>1213</v>
      </c>
      <c r="C1250" s="41">
        <v>24027850</v>
      </c>
      <c r="D1250" s="41" t="s">
        <v>1723</v>
      </c>
      <c r="E1250" s="41" t="s">
        <v>31</v>
      </c>
      <c r="F1250" s="41" t="s">
        <v>1676</v>
      </c>
      <c r="G1250" s="41" t="s">
        <v>24</v>
      </c>
      <c r="H1250" s="42"/>
    </row>
    <row r="1251" spans="2:8" ht="18" customHeight="1" x14ac:dyDescent="0.25">
      <c r="B1251" s="40">
        <f>SUBTOTAL(3,C$4:C1251)</f>
        <v>1214</v>
      </c>
      <c r="C1251" s="41">
        <v>24035014</v>
      </c>
      <c r="D1251" s="41" t="s">
        <v>1724</v>
      </c>
      <c r="E1251" s="41" t="s">
        <v>31</v>
      </c>
      <c r="F1251" s="41" t="s">
        <v>1676</v>
      </c>
      <c r="G1251" s="41" t="s">
        <v>24</v>
      </c>
      <c r="H1251" s="42"/>
    </row>
    <row r="1252" spans="2:8" ht="18" customHeight="1" x14ac:dyDescent="0.25">
      <c r="B1252" s="40">
        <f>SUBTOTAL(3,C$4:C1252)</f>
        <v>1215</v>
      </c>
      <c r="C1252" s="41">
        <v>24027520</v>
      </c>
      <c r="D1252" s="41" t="s">
        <v>1725</v>
      </c>
      <c r="E1252" s="41" t="s">
        <v>31</v>
      </c>
      <c r="F1252" s="41" t="s">
        <v>1676</v>
      </c>
      <c r="G1252" s="41" t="s">
        <v>24</v>
      </c>
      <c r="H1252" s="42" t="s">
        <v>1491</v>
      </c>
    </row>
    <row r="1253" spans="2:8" ht="18" customHeight="1" x14ac:dyDescent="0.25">
      <c r="B1253" s="40">
        <f>SUBTOTAL(3,C$4:C1253)</f>
        <v>1216</v>
      </c>
      <c r="C1253" s="41">
        <v>24031963</v>
      </c>
      <c r="D1253" s="41" t="s">
        <v>1726</v>
      </c>
      <c r="E1253" s="41" t="s">
        <v>31</v>
      </c>
      <c r="F1253" s="41" t="s">
        <v>1676</v>
      </c>
      <c r="G1253" s="41" t="s">
        <v>24</v>
      </c>
      <c r="H1253" s="42"/>
    </row>
    <row r="1254" spans="2:8" ht="18" customHeight="1" x14ac:dyDescent="0.25">
      <c r="B1254" s="40">
        <f>SUBTOTAL(3,C$4:C1254)</f>
        <v>1217</v>
      </c>
      <c r="C1254" s="41">
        <v>24025699</v>
      </c>
      <c r="D1254" s="41" t="s">
        <v>1727</v>
      </c>
      <c r="E1254" s="41" t="s">
        <v>31</v>
      </c>
      <c r="F1254" s="41" t="s">
        <v>1676</v>
      </c>
      <c r="G1254" s="41" t="s">
        <v>24</v>
      </c>
      <c r="H1254" s="42" t="s">
        <v>1491</v>
      </c>
    </row>
    <row r="1255" spans="2:8" ht="18" customHeight="1" x14ac:dyDescent="0.25">
      <c r="B1255" s="40">
        <f>SUBTOTAL(3,C$4:C1255)</f>
        <v>1218</v>
      </c>
      <c r="C1255" s="41">
        <v>24031571</v>
      </c>
      <c r="D1255" s="41" t="s">
        <v>1728</v>
      </c>
      <c r="E1255" s="41" t="s">
        <v>31</v>
      </c>
      <c r="F1255" s="41" t="s">
        <v>1676</v>
      </c>
      <c r="G1255" s="41" t="s">
        <v>24</v>
      </c>
      <c r="H1255" s="42"/>
    </row>
    <row r="1256" spans="2:8" ht="18" customHeight="1" x14ac:dyDescent="0.25">
      <c r="B1256" s="40">
        <f>SUBTOTAL(3,C$4:C1256)</f>
        <v>1219</v>
      </c>
      <c r="C1256" s="41">
        <v>24022144</v>
      </c>
      <c r="D1256" s="41" t="s">
        <v>1729</v>
      </c>
      <c r="E1256" s="41" t="s">
        <v>31</v>
      </c>
      <c r="F1256" s="41" t="s">
        <v>1676</v>
      </c>
      <c r="G1256" s="41" t="s">
        <v>24</v>
      </c>
      <c r="H1256" s="42"/>
    </row>
    <row r="1257" spans="2:8" ht="18" customHeight="1" x14ac:dyDescent="0.25">
      <c r="B1257" s="40">
        <f>SUBTOTAL(3,C$4:C1257)</f>
        <v>1220</v>
      </c>
      <c r="C1257" s="41">
        <v>24249659</v>
      </c>
      <c r="D1257" s="41" t="s">
        <v>1730</v>
      </c>
      <c r="E1257" s="41" t="s">
        <v>31</v>
      </c>
      <c r="F1257" s="41" t="s">
        <v>1676</v>
      </c>
      <c r="G1257" s="41" t="s">
        <v>24</v>
      </c>
      <c r="H1257" s="42"/>
    </row>
    <row r="1258" spans="2:8" ht="18" customHeight="1" x14ac:dyDescent="0.25">
      <c r="B1258" s="40">
        <f>SUBTOTAL(3,C$4:C1258)</f>
        <v>1221</v>
      </c>
      <c r="C1258" s="41">
        <v>24020222</v>
      </c>
      <c r="D1258" s="41" t="s">
        <v>1756</v>
      </c>
      <c r="E1258" s="41" t="s">
        <v>31</v>
      </c>
      <c r="F1258" s="41" t="s">
        <v>1757</v>
      </c>
      <c r="G1258" s="41" t="s">
        <v>24</v>
      </c>
      <c r="H1258" s="42"/>
    </row>
    <row r="1259" spans="2:8" ht="18" customHeight="1" x14ac:dyDescent="0.25">
      <c r="B1259" s="40">
        <f>SUBTOTAL(3,C$4:C1259)</f>
        <v>1222</v>
      </c>
      <c r="C1259" s="41">
        <v>24030876</v>
      </c>
      <c r="D1259" s="41" t="s">
        <v>1758</v>
      </c>
      <c r="E1259" s="41" t="s">
        <v>31</v>
      </c>
      <c r="F1259" s="41" t="s">
        <v>1757</v>
      </c>
      <c r="G1259" s="41" t="s">
        <v>24</v>
      </c>
      <c r="H1259" s="42"/>
    </row>
    <row r="1260" spans="2:8" ht="18" customHeight="1" x14ac:dyDescent="0.25">
      <c r="B1260" s="40">
        <f>SUBTOTAL(3,C$4:C1260)</f>
        <v>1223</v>
      </c>
      <c r="C1260" s="41">
        <v>24030303</v>
      </c>
      <c r="D1260" s="41" t="s">
        <v>1736</v>
      </c>
      <c r="E1260" s="41" t="s">
        <v>31</v>
      </c>
      <c r="F1260" s="41" t="s">
        <v>1737</v>
      </c>
      <c r="G1260" s="41" t="s">
        <v>24</v>
      </c>
      <c r="H1260" s="42"/>
    </row>
    <row r="1261" spans="2:8" ht="18" customHeight="1" x14ac:dyDescent="0.25">
      <c r="B1261" s="40">
        <f>SUBTOTAL(3,C$4:C1261)</f>
        <v>1224</v>
      </c>
      <c r="C1261" s="41">
        <v>24029943</v>
      </c>
      <c r="D1261" s="41" t="s">
        <v>1753</v>
      </c>
      <c r="E1261" s="41" t="s">
        <v>31</v>
      </c>
      <c r="F1261" s="41" t="s">
        <v>1737</v>
      </c>
      <c r="G1261" s="41" t="s">
        <v>24</v>
      </c>
      <c r="H1261" s="42" t="s">
        <v>1491</v>
      </c>
    </row>
    <row r="1262" spans="2:8" ht="18" customHeight="1" x14ac:dyDescent="0.25">
      <c r="B1262" s="40">
        <f>SUBTOTAL(3,C$4:C1262)</f>
        <v>1225</v>
      </c>
      <c r="C1262" s="41">
        <v>24032582</v>
      </c>
      <c r="D1262" s="41" t="s">
        <v>1760</v>
      </c>
      <c r="E1262" s="41" t="s">
        <v>31</v>
      </c>
      <c r="F1262" s="41" t="s">
        <v>1737</v>
      </c>
      <c r="G1262" s="41" t="s">
        <v>24</v>
      </c>
      <c r="H1262" s="42" t="s">
        <v>1461</v>
      </c>
    </row>
    <row r="1263" spans="2:8" ht="18" customHeight="1" x14ac:dyDescent="0.25">
      <c r="B1263" s="40">
        <f>SUBTOTAL(3,C$4:C1263)</f>
        <v>1226</v>
      </c>
      <c r="C1263" s="41">
        <v>24029514</v>
      </c>
      <c r="D1263" s="41" t="s">
        <v>1468</v>
      </c>
      <c r="E1263" s="41" t="s">
        <v>31</v>
      </c>
      <c r="F1263" s="41" t="s">
        <v>1469</v>
      </c>
      <c r="G1263" s="41" t="s">
        <v>24</v>
      </c>
      <c r="H1263" s="42"/>
    </row>
    <row r="1264" spans="2:8" ht="18" customHeight="1" x14ac:dyDescent="0.25">
      <c r="B1264" s="40">
        <f>SUBTOTAL(3,C$4:C1264)</f>
        <v>1227</v>
      </c>
      <c r="C1264" s="41">
        <v>24027035</v>
      </c>
      <c r="D1264" s="41" t="s">
        <v>1470</v>
      </c>
      <c r="E1264" s="41" t="s">
        <v>31</v>
      </c>
      <c r="F1264" s="41" t="s">
        <v>1469</v>
      </c>
      <c r="G1264" s="41" t="s">
        <v>24</v>
      </c>
      <c r="H1264" s="42"/>
    </row>
    <row r="1265" spans="2:8" ht="18" customHeight="1" x14ac:dyDescent="0.25">
      <c r="B1265" s="40">
        <f>SUBTOTAL(3,C$4:C1265)</f>
        <v>1228</v>
      </c>
      <c r="C1265" s="41">
        <v>24031798</v>
      </c>
      <c r="D1265" s="41" t="s">
        <v>1471</v>
      </c>
      <c r="E1265" s="41" t="s">
        <v>31</v>
      </c>
      <c r="F1265" s="41" t="s">
        <v>1469</v>
      </c>
      <c r="G1265" s="41" t="s">
        <v>24</v>
      </c>
      <c r="H1265" s="42"/>
    </row>
    <row r="1266" spans="2:8" ht="18" customHeight="1" x14ac:dyDescent="0.25">
      <c r="B1266" s="40">
        <f>SUBTOTAL(3,C$4:C1266)</f>
        <v>1229</v>
      </c>
      <c r="C1266" s="41">
        <v>24029747</v>
      </c>
      <c r="D1266" s="41" t="s">
        <v>1472</v>
      </c>
      <c r="E1266" s="41" t="s">
        <v>31</v>
      </c>
      <c r="F1266" s="41" t="s">
        <v>1469</v>
      </c>
      <c r="G1266" s="41" t="s">
        <v>24</v>
      </c>
      <c r="H1266" s="42"/>
    </row>
    <row r="1267" spans="2:8" ht="18" customHeight="1" x14ac:dyDescent="0.25">
      <c r="B1267" s="40">
        <f>SUBTOTAL(3,C$4:C1267)</f>
        <v>1230</v>
      </c>
      <c r="C1267" s="41">
        <v>24027558</v>
      </c>
      <c r="D1267" s="41" t="s">
        <v>1473</v>
      </c>
      <c r="E1267" s="41" t="s">
        <v>31</v>
      </c>
      <c r="F1267" s="41" t="s">
        <v>1469</v>
      </c>
      <c r="G1267" s="41" t="s">
        <v>24</v>
      </c>
      <c r="H1267" s="42"/>
    </row>
    <row r="1268" spans="2:8" ht="18" customHeight="1" x14ac:dyDescent="0.25">
      <c r="B1268" s="40">
        <f>SUBTOTAL(3,C$4:C1268)</f>
        <v>1231</v>
      </c>
      <c r="C1268" s="41">
        <v>24027884</v>
      </c>
      <c r="D1268" s="41" t="s">
        <v>1474</v>
      </c>
      <c r="E1268" s="41" t="s">
        <v>31</v>
      </c>
      <c r="F1268" s="41" t="s">
        <v>1469</v>
      </c>
      <c r="G1268" s="41" t="s">
        <v>24</v>
      </c>
      <c r="H1268" s="42"/>
    </row>
    <row r="1269" spans="2:8" ht="18" customHeight="1" x14ac:dyDescent="0.25">
      <c r="B1269" s="40">
        <f>SUBTOTAL(3,C$4:C1269)</f>
        <v>1232</v>
      </c>
      <c r="C1269" s="41">
        <v>24036692</v>
      </c>
      <c r="D1269" s="41" t="s">
        <v>1475</v>
      </c>
      <c r="E1269" s="41" t="s">
        <v>31</v>
      </c>
      <c r="F1269" s="41" t="s">
        <v>1469</v>
      </c>
      <c r="G1269" s="41" t="s">
        <v>24</v>
      </c>
      <c r="H1269" s="42"/>
    </row>
    <row r="1270" spans="2:8" ht="18" customHeight="1" x14ac:dyDescent="0.25">
      <c r="B1270" s="40">
        <f>SUBTOTAL(3,C$4:C1270)</f>
        <v>1233</v>
      </c>
      <c r="C1270" s="41">
        <v>24170908</v>
      </c>
      <c r="D1270" s="41" t="s">
        <v>1476</v>
      </c>
      <c r="E1270" s="41" t="s">
        <v>31</v>
      </c>
      <c r="F1270" s="41" t="s">
        <v>1469</v>
      </c>
      <c r="G1270" s="41" t="s">
        <v>24</v>
      </c>
      <c r="H1270" s="42"/>
    </row>
    <row r="1271" spans="2:8" ht="18" customHeight="1" x14ac:dyDescent="0.25">
      <c r="B1271" s="40">
        <f>SUBTOTAL(3,C$4:C1271)</f>
        <v>1234</v>
      </c>
      <c r="C1271" s="41">
        <v>24030310</v>
      </c>
      <c r="D1271" s="41" t="s">
        <v>1477</v>
      </c>
      <c r="E1271" s="41" t="s">
        <v>31</v>
      </c>
      <c r="F1271" s="41" t="s">
        <v>1469</v>
      </c>
      <c r="G1271" s="41" t="s">
        <v>24</v>
      </c>
      <c r="H1271" s="42"/>
    </row>
    <row r="1272" spans="2:8" ht="18" customHeight="1" x14ac:dyDescent="0.25">
      <c r="B1272" s="40">
        <f>SUBTOTAL(3,C$4:C1272)</f>
        <v>1235</v>
      </c>
      <c r="C1272" s="41">
        <v>24028620</v>
      </c>
      <c r="D1272" s="41" t="s">
        <v>1478</v>
      </c>
      <c r="E1272" s="41" t="s">
        <v>31</v>
      </c>
      <c r="F1272" s="41" t="s">
        <v>1469</v>
      </c>
      <c r="G1272" s="41" t="s">
        <v>24</v>
      </c>
      <c r="H1272" s="42"/>
    </row>
    <row r="1273" spans="2:8" ht="18" customHeight="1" x14ac:dyDescent="0.25">
      <c r="B1273" s="40">
        <f>SUBTOTAL(3,C$4:C1273)</f>
        <v>1236</v>
      </c>
      <c r="C1273" s="41">
        <v>24026920</v>
      </c>
      <c r="D1273" s="41" t="s">
        <v>1479</v>
      </c>
      <c r="E1273" s="41" t="s">
        <v>31</v>
      </c>
      <c r="F1273" s="41" t="s">
        <v>1480</v>
      </c>
      <c r="G1273" s="41" t="s">
        <v>24</v>
      </c>
      <c r="H1273" s="42"/>
    </row>
    <row r="1274" spans="2:8" ht="18" customHeight="1" x14ac:dyDescent="0.25">
      <c r="B1274" s="40">
        <f>SUBTOTAL(3,C$4:C1274)</f>
        <v>1237</v>
      </c>
      <c r="C1274" s="41">
        <v>24021487</v>
      </c>
      <c r="D1274" s="41" t="s">
        <v>1481</v>
      </c>
      <c r="E1274" s="41" t="s">
        <v>31</v>
      </c>
      <c r="F1274" s="41" t="s">
        <v>1480</v>
      </c>
      <c r="G1274" s="41" t="s">
        <v>24</v>
      </c>
      <c r="H1274" s="42"/>
    </row>
    <row r="1275" spans="2:8" ht="18" customHeight="1" x14ac:dyDescent="0.25">
      <c r="B1275" s="40">
        <f>SUBTOTAL(3,C$4:C1275)</f>
        <v>1238</v>
      </c>
      <c r="C1275" s="41">
        <v>24020850</v>
      </c>
      <c r="D1275" s="41" t="s">
        <v>1482</v>
      </c>
      <c r="E1275" s="41" t="s">
        <v>31</v>
      </c>
      <c r="F1275" s="41" t="s">
        <v>1480</v>
      </c>
      <c r="G1275" s="41" t="s">
        <v>24</v>
      </c>
      <c r="H1275" s="42"/>
    </row>
    <row r="1276" spans="2:8" ht="18" customHeight="1" x14ac:dyDescent="0.25">
      <c r="B1276" s="40">
        <f>SUBTOTAL(3,C$4:C1276)</f>
        <v>1239</v>
      </c>
      <c r="C1276" s="41">
        <v>24020447</v>
      </c>
      <c r="D1276" s="41" t="s">
        <v>1483</v>
      </c>
      <c r="E1276" s="41" t="s">
        <v>31</v>
      </c>
      <c r="F1276" s="41" t="s">
        <v>1480</v>
      </c>
      <c r="G1276" s="41" t="s">
        <v>24</v>
      </c>
      <c r="H1276" s="42"/>
    </row>
    <row r="1277" spans="2:8" ht="18" customHeight="1" x14ac:dyDescent="0.25">
      <c r="B1277" s="40">
        <f>SUBTOTAL(3,C$4:C1277)</f>
        <v>1240</v>
      </c>
      <c r="C1277" s="41">
        <v>24019961</v>
      </c>
      <c r="D1277" s="41" t="s">
        <v>1484</v>
      </c>
      <c r="E1277" s="41" t="s">
        <v>31</v>
      </c>
      <c r="F1277" s="41" t="s">
        <v>1480</v>
      </c>
      <c r="G1277" s="41" t="s">
        <v>24</v>
      </c>
      <c r="H1277" s="42"/>
    </row>
    <row r="1278" spans="2:8" ht="18" customHeight="1" x14ac:dyDescent="0.25">
      <c r="B1278" s="40">
        <f>SUBTOTAL(3,C$4:C1278)</f>
        <v>1241</v>
      </c>
      <c r="C1278" s="41">
        <v>24033354</v>
      </c>
      <c r="D1278" s="41" t="s">
        <v>1485</v>
      </c>
      <c r="E1278" s="41" t="s">
        <v>31</v>
      </c>
      <c r="F1278" s="41" t="s">
        <v>1480</v>
      </c>
      <c r="G1278" s="41" t="s">
        <v>24</v>
      </c>
      <c r="H1278" s="42"/>
    </row>
    <row r="1279" spans="2:8" ht="18" customHeight="1" x14ac:dyDescent="0.25">
      <c r="B1279" s="40">
        <f>SUBTOTAL(3,C$4:C1279)</f>
        <v>1242</v>
      </c>
      <c r="C1279" s="41">
        <v>24029740</v>
      </c>
      <c r="D1279" s="41" t="s">
        <v>1486</v>
      </c>
      <c r="E1279" s="41" t="s">
        <v>31</v>
      </c>
      <c r="F1279" s="41" t="s">
        <v>1480</v>
      </c>
      <c r="G1279" s="41" t="s">
        <v>24</v>
      </c>
      <c r="H1279" s="42"/>
    </row>
    <row r="1280" spans="2:8" ht="18" customHeight="1" x14ac:dyDescent="0.25">
      <c r="B1280" s="40">
        <f>SUBTOTAL(3,C$4:C1280)</f>
        <v>1243</v>
      </c>
      <c r="C1280" s="41">
        <v>24020169</v>
      </c>
      <c r="D1280" s="41" t="s">
        <v>1487</v>
      </c>
      <c r="E1280" s="41" t="s">
        <v>31</v>
      </c>
      <c r="F1280" s="41" t="s">
        <v>1480</v>
      </c>
      <c r="G1280" s="41" t="s">
        <v>24</v>
      </c>
      <c r="H1280" s="42"/>
    </row>
    <row r="1281" spans="2:8" ht="18" customHeight="1" x14ac:dyDescent="0.25">
      <c r="B1281" s="40">
        <f>SUBTOTAL(3,C$4:C1281)</f>
        <v>1244</v>
      </c>
      <c r="C1281" s="41">
        <v>24019676</v>
      </c>
      <c r="D1281" s="41" t="s">
        <v>1488</v>
      </c>
      <c r="E1281" s="41" t="s">
        <v>31</v>
      </c>
      <c r="F1281" s="41" t="s">
        <v>1480</v>
      </c>
      <c r="G1281" s="41" t="s">
        <v>24</v>
      </c>
      <c r="H1281" s="42"/>
    </row>
    <row r="1282" spans="2:8" ht="18" customHeight="1" x14ac:dyDescent="0.25">
      <c r="B1282" s="40">
        <f>SUBTOTAL(3,C$4:C1282)</f>
        <v>1245</v>
      </c>
      <c r="C1282" s="41">
        <v>24034310</v>
      </c>
      <c r="D1282" s="41" t="s">
        <v>1463</v>
      </c>
      <c r="E1282" s="41" t="s">
        <v>31</v>
      </c>
      <c r="F1282" s="41" t="s">
        <v>1464</v>
      </c>
      <c r="G1282" s="41" t="s">
        <v>24</v>
      </c>
      <c r="H1282" s="42"/>
    </row>
    <row r="1283" spans="2:8" ht="18" customHeight="1" x14ac:dyDescent="0.25">
      <c r="B1283" s="40">
        <f>SUBTOTAL(3,C$4:C1283)</f>
        <v>1246</v>
      </c>
      <c r="C1283" s="41">
        <v>24026736</v>
      </c>
      <c r="D1283" s="41" t="s">
        <v>1450</v>
      </c>
      <c r="E1283" s="41" t="s">
        <v>31</v>
      </c>
      <c r="F1283" s="41" t="s">
        <v>1451</v>
      </c>
      <c r="G1283" s="41" t="s">
        <v>24</v>
      </c>
      <c r="H1283" s="42"/>
    </row>
    <row r="1284" spans="2:8" ht="18" customHeight="1" x14ac:dyDescent="0.25">
      <c r="B1284" s="40">
        <f>SUBTOTAL(3,C$4:C1284)</f>
        <v>1247</v>
      </c>
      <c r="C1284" s="41">
        <v>24019228</v>
      </c>
      <c r="D1284" s="41" t="s">
        <v>1465</v>
      </c>
      <c r="E1284" s="41" t="s">
        <v>31</v>
      </c>
      <c r="F1284" s="41" t="s">
        <v>1451</v>
      </c>
      <c r="G1284" s="41" t="s">
        <v>24</v>
      </c>
      <c r="H1284" s="42"/>
    </row>
    <row r="1285" spans="2:8" ht="18" customHeight="1" x14ac:dyDescent="0.25">
      <c r="B1285" s="40">
        <f>SUBTOTAL(3,C$4:C1285)</f>
        <v>1248</v>
      </c>
      <c r="C1285" s="41">
        <v>24033202</v>
      </c>
      <c r="D1285" s="41" t="s">
        <v>1044</v>
      </c>
      <c r="E1285" s="41" t="s">
        <v>30</v>
      </c>
      <c r="F1285" s="41" t="s">
        <v>32</v>
      </c>
      <c r="G1285" s="41" t="s">
        <v>24</v>
      </c>
      <c r="H1285" s="42"/>
    </row>
    <row r="1286" spans="2:8" ht="18" customHeight="1" x14ac:dyDescent="0.25">
      <c r="B1286" s="40">
        <f>SUBTOTAL(3,C$4:C1286)</f>
        <v>1249</v>
      </c>
      <c r="C1286" s="41">
        <v>24035768</v>
      </c>
      <c r="D1286" s="41" t="s">
        <v>1048</v>
      </c>
      <c r="E1286" s="41" t="s">
        <v>30</v>
      </c>
      <c r="F1286" s="41" t="s">
        <v>32</v>
      </c>
      <c r="G1286" s="41" t="s">
        <v>24</v>
      </c>
      <c r="H1286" s="42"/>
    </row>
    <row r="1287" spans="2:8" ht="18" customHeight="1" x14ac:dyDescent="0.25">
      <c r="B1287" s="40">
        <f>SUBTOTAL(3,C$4:C1287)</f>
        <v>1250</v>
      </c>
      <c r="C1287" s="41">
        <v>24031962</v>
      </c>
      <c r="D1287" s="41" t="s">
        <v>1061</v>
      </c>
      <c r="E1287" s="41" t="s">
        <v>30</v>
      </c>
      <c r="F1287" s="41" t="s">
        <v>32</v>
      </c>
      <c r="G1287" s="41" t="s">
        <v>24</v>
      </c>
      <c r="H1287" s="42" t="s">
        <v>1062</v>
      </c>
    </row>
    <row r="1288" spans="2:8" ht="18" customHeight="1" x14ac:dyDescent="0.25">
      <c r="B1288" s="40">
        <f>SUBTOTAL(3,C$4:C1288)</f>
        <v>1251</v>
      </c>
      <c r="C1288" s="41">
        <v>24037716</v>
      </c>
      <c r="D1288" s="41" t="s">
        <v>1064</v>
      </c>
      <c r="E1288" s="41" t="s">
        <v>30</v>
      </c>
      <c r="F1288" s="41" t="s">
        <v>32</v>
      </c>
      <c r="G1288" s="41" t="s">
        <v>24</v>
      </c>
      <c r="H1288" s="42"/>
    </row>
    <row r="1289" spans="2:8" ht="18" customHeight="1" x14ac:dyDescent="0.25">
      <c r="B1289" s="40">
        <f>SUBTOTAL(3,C$4:C1289)</f>
        <v>1252</v>
      </c>
      <c r="C1289" s="41">
        <v>24028844</v>
      </c>
      <c r="D1289" s="41" t="s">
        <v>1031</v>
      </c>
      <c r="E1289" s="41" t="s">
        <v>30</v>
      </c>
      <c r="F1289" s="41" t="s">
        <v>1032</v>
      </c>
      <c r="G1289" s="41" t="s">
        <v>24</v>
      </c>
      <c r="H1289" s="42"/>
    </row>
    <row r="1290" spans="2:8" ht="18" customHeight="1" x14ac:dyDescent="0.25">
      <c r="B1290" s="40">
        <f>SUBTOTAL(3,C$4:C1290)</f>
        <v>1253</v>
      </c>
      <c r="C1290" s="41">
        <v>24027399</v>
      </c>
      <c r="D1290" s="41" t="s">
        <v>1033</v>
      </c>
      <c r="E1290" s="41" t="s">
        <v>30</v>
      </c>
      <c r="F1290" s="41" t="s">
        <v>1032</v>
      </c>
      <c r="G1290" s="41" t="s">
        <v>24</v>
      </c>
      <c r="H1290" s="42"/>
    </row>
    <row r="1291" spans="2:8" ht="18" customHeight="1" x14ac:dyDescent="0.25">
      <c r="B1291" s="40">
        <f>SUBTOTAL(3,C$4:C1291)</f>
        <v>1254</v>
      </c>
      <c r="C1291" s="41">
        <v>24030075</v>
      </c>
      <c r="D1291" s="41" t="s">
        <v>1041</v>
      </c>
      <c r="E1291" s="41" t="s">
        <v>30</v>
      </c>
      <c r="F1291" s="41" t="s">
        <v>1032</v>
      </c>
      <c r="G1291" s="41" t="s">
        <v>24</v>
      </c>
      <c r="H1291" s="42"/>
    </row>
    <row r="1292" spans="2:8" ht="18" customHeight="1" x14ac:dyDescent="0.25">
      <c r="B1292" s="40">
        <f>SUBTOTAL(3,C$4:C1292)</f>
        <v>1255</v>
      </c>
      <c r="C1292" s="41">
        <v>24026327</v>
      </c>
      <c r="D1292" s="41" t="s">
        <v>1049</v>
      </c>
      <c r="E1292" s="41" t="s">
        <v>30</v>
      </c>
      <c r="F1292" s="41" t="s">
        <v>1032</v>
      </c>
      <c r="G1292" s="41" t="s">
        <v>24</v>
      </c>
      <c r="H1292" s="42"/>
    </row>
    <row r="1293" spans="2:8" ht="18" customHeight="1" x14ac:dyDescent="0.25">
      <c r="B1293" s="40">
        <f>SUBTOTAL(3,C$4:C1293)</f>
        <v>1256</v>
      </c>
      <c r="C1293" s="41">
        <v>24036166</v>
      </c>
      <c r="D1293" s="41" t="s">
        <v>1050</v>
      </c>
      <c r="E1293" s="41" t="s">
        <v>30</v>
      </c>
      <c r="F1293" s="41" t="s">
        <v>1032</v>
      </c>
      <c r="G1293" s="41" t="s">
        <v>24</v>
      </c>
      <c r="H1293" s="42" t="s">
        <v>1051</v>
      </c>
    </row>
    <row r="1294" spans="2:8" ht="18" customHeight="1" x14ac:dyDescent="0.25">
      <c r="B1294" s="40">
        <f>SUBTOTAL(3,C$4:C1294)</f>
        <v>1257</v>
      </c>
      <c r="C1294" s="41">
        <v>24027593</v>
      </c>
      <c r="D1294" s="41" t="s">
        <v>1055</v>
      </c>
      <c r="E1294" s="41" t="s">
        <v>30</v>
      </c>
      <c r="F1294" s="41" t="s">
        <v>1032</v>
      </c>
      <c r="G1294" s="41" t="s">
        <v>24</v>
      </c>
      <c r="H1294" s="42"/>
    </row>
    <row r="1295" spans="2:8" ht="18" customHeight="1" x14ac:dyDescent="0.25">
      <c r="B1295" s="40">
        <f>SUBTOTAL(3,C$4:C1295)</f>
        <v>1258</v>
      </c>
      <c r="C1295" s="41">
        <v>24026952</v>
      </c>
      <c r="D1295" s="41" t="s">
        <v>1056</v>
      </c>
      <c r="E1295" s="41" t="s">
        <v>30</v>
      </c>
      <c r="F1295" s="41" t="s">
        <v>1032</v>
      </c>
      <c r="G1295" s="41" t="s">
        <v>24</v>
      </c>
      <c r="H1295" s="42"/>
    </row>
    <row r="1296" spans="2:8" ht="18" customHeight="1" x14ac:dyDescent="0.25">
      <c r="B1296" s="40">
        <f>SUBTOTAL(3,C$4:C1296)</f>
        <v>1259</v>
      </c>
      <c r="C1296" s="41">
        <v>24120757</v>
      </c>
      <c r="D1296" s="41" t="s">
        <v>1060</v>
      </c>
      <c r="E1296" s="41" t="s">
        <v>30</v>
      </c>
      <c r="F1296" s="41" t="s">
        <v>1032</v>
      </c>
      <c r="G1296" s="41" t="s">
        <v>24</v>
      </c>
      <c r="H1296" s="42"/>
    </row>
    <row r="1297" spans="2:8" ht="18" customHeight="1" x14ac:dyDescent="0.25">
      <c r="B1297" s="40">
        <f>SUBTOTAL(3,C$4:C1297)</f>
        <v>1260</v>
      </c>
      <c r="C1297" s="41">
        <v>24034122</v>
      </c>
      <c r="D1297" s="41" t="s">
        <v>1066</v>
      </c>
      <c r="E1297" s="41" t="s">
        <v>30</v>
      </c>
      <c r="F1297" s="41" t="s">
        <v>1032</v>
      </c>
      <c r="G1297" s="41" t="s">
        <v>24</v>
      </c>
      <c r="H1297" s="42"/>
    </row>
    <row r="1298" spans="2:8" ht="18" customHeight="1" x14ac:dyDescent="0.25">
      <c r="B1298" s="40">
        <f>SUBTOTAL(3,C$4:C1298)</f>
        <v>1261</v>
      </c>
      <c r="C1298" s="41">
        <v>24220106</v>
      </c>
      <c r="D1298" s="41" t="s">
        <v>1074</v>
      </c>
      <c r="E1298" s="41" t="s">
        <v>30</v>
      </c>
      <c r="F1298" s="41" t="s">
        <v>1032</v>
      </c>
      <c r="G1298" s="41" t="s">
        <v>24</v>
      </c>
      <c r="H1298" s="42"/>
    </row>
    <row r="1299" spans="2:8" ht="18" customHeight="1" x14ac:dyDescent="0.25">
      <c r="B1299" s="40">
        <f>SUBTOTAL(3,C$4:C1299)</f>
        <v>1262</v>
      </c>
      <c r="C1299" s="41">
        <v>2400688</v>
      </c>
      <c r="D1299" s="41" t="s">
        <v>1075</v>
      </c>
      <c r="E1299" s="41" t="s">
        <v>30</v>
      </c>
      <c r="F1299" s="41" t="s">
        <v>1032</v>
      </c>
      <c r="G1299" s="41" t="s">
        <v>24</v>
      </c>
      <c r="H1299" s="42"/>
    </row>
    <row r="1300" spans="2:8" ht="18" customHeight="1" x14ac:dyDescent="0.25">
      <c r="B1300" s="40">
        <f>SUBTOTAL(3,C$4:C1300)</f>
        <v>1263</v>
      </c>
      <c r="C1300" s="41">
        <v>24027384</v>
      </c>
      <c r="D1300" s="41" t="s">
        <v>1029</v>
      </c>
      <c r="E1300" s="41" t="s">
        <v>30</v>
      </c>
      <c r="F1300" s="41" t="s">
        <v>1030</v>
      </c>
      <c r="G1300" s="41" t="s">
        <v>24</v>
      </c>
      <c r="H1300" s="42"/>
    </row>
    <row r="1301" spans="2:8" ht="18" customHeight="1" x14ac:dyDescent="0.25">
      <c r="B1301" s="40">
        <f>SUBTOTAL(3,C$4:C1301)</f>
        <v>1264</v>
      </c>
      <c r="C1301" s="41">
        <v>24036062</v>
      </c>
      <c r="D1301" s="41" t="s">
        <v>1036</v>
      </c>
      <c r="E1301" s="41" t="s">
        <v>30</v>
      </c>
      <c r="F1301" s="41" t="s">
        <v>1030</v>
      </c>
      <c r="G1301" s="41" t="s">
        <v>24</v>
      </c>
      <c r="H1301" s="42" t="s">
        <v>1037</v>
      </c>
    </row>
    <row r="1302" spans="2:8" ht="18" customHeight="1" x14ac:dyDescent="0.25">
      <c r="B1302" s="40">
        <f>SUBTOTAL(3,C$4:C1302)</f>
        <v>1265</v>
      </c>
      <c r="C1302" s="41">
        <v>24027466</v>
      </c>
      <c r="D1302" s="41" t="s">
        <v>1038</v>
      </c>
      <c r="E1302" s="41" t="s">
        <v>30</v>
      </c>
      <c r="F1302" s="41" t="s">
        <v>1030</v>
      </c>
      <c r="G1302" s="41" t="s">
        <v>24</v>
      </c>
      <c r="H1302" s="42" t="s">
        <v>1039</v>
      </c>
    </row>
    <row r="1303" spans="2:8" ht="18" customHeight="1" x14ac:dyDescent="0.25">
      <c r="B1303" s="40">
        <f>SUBTOTAL(3,C$4:C1303)</f>
        <v>1266</v>
      </c>
      <c r="C1303" s="41">
        <v>24028200</v>
      </c>
      <c r="D1303" s="41" t="s">
        <v>1040</v>
      </c>
      <c r="E1303" s="41" t="s">
        <v>30</v>
      </c>
      <c r="F1303" s="41" t="s">
        <v>1030</v>
      </c>
      <c r="G1303" s="41" t="s">
        <v>24</v>
      </c>
      <c r="H1303" s="42"/>
    </row>
    <row r="1304" spans="2:8" ht="18" customHeight="1" x14ac:dyDescent="0.25">
      <c r="B1304" s="40">
        <f>SUBTOTAL(3,C$4:C1304)</f>
        <v>1267</v>
      </c>
      <c r="C1304" s="41">
        <v>24120548</v>
      </c>
      <c r="D1304" s="41" t="s">
        <v>1042</v>
      </c>
      <c r="E1304" s="41" t="s">
        <v>30</v>
      </c>
      <c r="F1304" s="41" t="s">
        <v>1030</v>
      </c>
      <c r="G1304" s="41" t="s">
        <v>24</v>
      </c>
      <c r="H1304" s="42"/>
    </row>
    <row r="1305" spans="2:8" ht="18" customHeight="1" x14ac:dyDescent="0.25">
      <c r="B1305" s="40">
        <f>SUBTOTAL(3,C$4:C1305)</f>
        <v>1268</v>
      </c>
      <c r="C1305" s="41">
        <v>24039901</v>
      </c>
      <c r="D1305" s="41" t="s">
        <v>1047</v>
      </c>
      <c r="E1305" s="41" t="s">
        <v>30</v>
      </c>
      <c r="F1305" s="41" t="s">
        <v>1030</v>
      </c>
      <c r="G1305" s="41" t="s">
        <v>24</v>
      </c>
      <c r="H1305" s="42"/>
    </row>
    <row r="1306" spans="2:8" ht="18" customHeight="1" x14ac:dyDescent="0.25">
      <c r="B1306" s="40">
        <f>SUBTOTAL(3,C$4:C1306)</f>
        <v>1269</v>
      </c>
      <c r="C1306" s="41">
        <v>24039332</v>
      </c>
      <c r="D1306" s="41" t="s">
        <v>1052</v>
      </c>
      <c r="E1306" s="41" t="s">
        <v>30</v>
      </c>
      <c r="F1306" s="41" t="s">
        <v>1030</v>
      </c>
      <c r="G1306" s="41" t="s">
        <v>24</v>
      </c>
      <c r="H1306" s="42"/>
    </row>
    <row r="1307" spans="2:8" ht="18" customHeight="1" x14ac:dyDescent="0.25">
      <c r="B1307" s="40">
        <f>SUBTOTAL(3,C$4:C1307)</f>
        <v>1270</v>
      </c>
      <c r="C1307" s="41">
        <v>24035830</v>
      </c>
      <c r="D1307" s="41" t="s">
        <v>1053</v>
      </c>
      <c r="E1307" s="41" t="s">
        <v>30</v>
      </c>
      <c r="F1307" s="41" t="s">
        <v>1030</v>
      </c>
      <c r="G1307" s="41" t="s">
        <v>24</v>
      </c>
      <c r="H1307" s="42"/>
    </row>
    <row r="1308" spans="2:8" ht="18" customHeight="1" x14ac:dyDescent="0.25">
      <c r="B1308" s="40">
        <f>SUBTOTAL(3,C$4:C1308)</f>
        <v>1271</v>
      </c>
      <c r="C1308" s="41">
        <v>24269081</v>
      </c>
      <c r="D1308" s="41" t="s">
        <v>1054</v>
      </c>
      <c r="E1308" s="41" t="s">
        <v>32</v>
      </c>
      <c r="F1308" s="41" t="s">
        <v>1030</v>
      </c>
      <c r="G1308" s="41" t="s">
        <v>24</v>
      </c>
      <c r="H1308" s="42"/>
    </row>
    <row r="1309" spans="2:8" ht="18" customHeight="1" x14ac:dyDescent="0.25">
      <c r="B1309" s="40">
        <f>SUBTOTAL(3,C$4:C1309)</f>
        <v>1272</v>
      </c>
      <c r="C1309" s="41">
        <v>24170983</v>
      </c>
      <c r="D1309" s="41" t="s">
        <v>1058</v>
      </c>
      <c r="E1309" s="41" t="s">
        <v>30</v>
      </c>
      <c r="F1309" s="41" t="s">
        <v>1030</v>
      </c>
      <c r="G1309" s="41" t="s">
        <v>24</v>
      </c>
      <c r="H1309" s="42"/>
    </row>
    <row r="1310" spans="2:8" ht="18" customHeight="1" x14ac:dyDescent="0.25">
      <c r="B1310" s="40">
        <f>SUBTOTAL(3,C$4:C1310)</f>
        <v>1273</v>
      </c>
      <c r="C1310" s="41">
        <v>12345678</v>
      </c>
      <c r="D1310" s="41" t="s">
        <v>2705</v>
      </c>
      <c r="E1310" s="41" t="s">
        <v>32</v>
      </c>
      <c r="F1310" s="41" t="s">
        <v>1030</v>
      </c>
      <c r="G1310" s="41" t="s">
        <v>24</v>
      </c>
      <c r="H1310" s="42"/>
    </row>
    <row r="1311" spans="2:8" ht="18" customHeight="1" x14ac:dyDescent="0.25">
      <c r="B1311" s="40">
        <f>SUBTOTAL(3,C$4:C1311)</f>
        <v>1274</v>
      </c>
      <c r="C1311" s="41">
        <v>24036872</v>
      </c>
      <c r="D1311" s="41" t="s">
        <v>1065</v>
      </c>
      <c r="E1311" s="41" t="s">
        <v>32</v>
      </c>
      <c r="F1311" s="41" t="s">
        <v>1030</v>
      </c>
      <c r="G1311" s="41" t="s">
        <v>24</v>
      </c>
      <c r="H1311" s="42"/>
    </row>
    <row r="1312" spans="2:8" ht="18" customHeight="1" x14ac:dyDescent="0.25">
      <c r="B1312" s="40">
        <f>SUBTOTAL(3,C$4:C1312)</f>
        <v>1275</v>
      </c>
      <c r="C1312" s="41">
        <v>24036625</v>
      </c>
      <c r="D1312" s="41" t="s">
        <v>1067</v>
      </c>
      <c r="E1312" s="41" t="s">
        <v>30</v>
      </c>
      <c r="F1312" s="41" t="s">
        <v>1030</v>
      </c>
      <c r="G1312" s="41" t="s">
        <v>24</v>
      </c>
      <c r="H1312" s="42"/>
    </row>
    <row r="1313" spans="2:8" ht="18" customHeight="1" x14ac:dyDescent="0.25">
      <c r="B1313" s="40">
        <f>SUBTOTAL(3,C$4:C1313)</f>
        <v>1276</v>
      </c>
      <c r="C1313" s="41">
        <v>24023160</v>
      </c>
      <c r="D1313" s="41" t="s">
        <v>1069</v>
      </c>
      <c r="E1313" s="41" t="s">
        <v>30</v>
      </c>
      <c r="F1313" s="41" t="s">
        <v>1030</v>
      </c>
      <c r="G1313" s="41" t="s">
        <v>24</v>
      </c>
      <c r="H1313" s="42" t="s">
        <v>1070</v>
      </c>
    </row>
    <row r="1314" spans="2:8" ht="18" customHeight="1" x14ac:dyDescent="0.25">
      <c r="B1314" s="40">
        <f>SUBTOTAL(3,C$4:C1314)</f>
        <v>1277</v>
      </c>
      <c r="C1314" s="41">
        <v>24034317</v>
      </c>
      <c r="D1314" s="41" t="s">
        <v>1072</v>
      </c>
      <c r="E1314" s="41" t="s">
        <v>30</v>
      </c>
      <c r="F1314" s="41" t="s">
        <v>1030</v>
      </c>
      <c r="G1314" s="41" t="s">
        <v>24</v>
      </c>
      <c r="H1314" s="42"/>
    </row>
    <row r="1315" spans="2:8" ht="18" customHeight="1" x14ac:dyDescent="0.25">
      <c r="B1315" s="40">
        <f>SUBTOTAL(3,C$4:C1315)</f>
        <v>1278</v>
      </c>
      <c r="C1315" s="41">
        <v>24033833</v>
      </c>
      <c r="D1315" s="41" t="s">
        <v>1073</v>
      </c>
      <c r="E1315" s="41" t="s">
        <v>30</v>
      </c>
      <c r="F1315" s="41" t="s">
        <v>1030</v>
      </c>
      <c r="G1315" s="41" t="s">
        <v>24</v>
      </c>
      <c r="H1315" s="42"/>
    </row>
    <row r="1316" spans="2:8" ht="18" customHeight="1" x14ac:dyDescent="0.25">
      <c r="B1316" s="40">
        <f>SUBTOTAL(3,C$4:C1316)</f>
        <v>1279</v>
      </c>
      <c r="C1316" s="41">
        <v>24026906</v>
      </c>
      <c r="D1316" s="41" t="s">
        <v>1034</v>
      </c>
      <c r="E1316" s="41" t="s">
        <v>30</v>
      </c>
      <c r="F1316" s="41" t="s">
        <v>1035</v>
      </c>
      <c r="G1316" s="41" t="s">
        <v>24</v>
      </c>
      <c r="H1316" s="42"/>
    </row>
    <row r="1317" spans="2:8" ht="18" hidden="1" customHeight="1" x14ac:dyDescent="0.25">
      <c r="B1317" s="40">
        <f>SUBTOTAL(3,C$4:C1317)</f>
        <v>1279</v>
      </c>
      <c r="C1317" s="41">
        <v>24116815</v>
      </c>
      <c r="D1317" s="41" t="s">
        <v>1043</v>
      </c>
      <c r="E1317" s="41" t="s">
        <v>30</v>
      </c>
      <c r="F1317" s="41" t="s">
        <v>1035</v>
      </c>
      <c r="G1317" s="41" t="s">
        <v>27</v>
      </c>
      <c r="H1317" s="42"/>
    </row>
    <row r="1318" spans="2:8" ht="18" customHeight="1" x14ac:dyDescent="0.25">
      <c r="B1318" s="40">
        <f>SUBTOTAL(3,C$4:C1318)</f>
        <v>1280</v>
      </c>
      <c r="C1318" s="41">
        <v>24033074</v>
      </c>
      <c r="D1318" s="41" t="s">
        <v>1045</v>
      </c>
      <c r="E1318" s="41" t="s">
        <v>30</v>
      </c>
      <c r="F1318" s="41" t="s">
        <v>1035</v>
      </c>
      <c r="G1318" s="41" t="s">
        <v>24</v>
      </c>
      <c r="H1318" s="42"/>
    </row>
    <row r="1319" spans="2:8" ht="18" customHeight="1" x14ac:dyDescent="0.25">
      <c r="B1319" s="40">
        <f>SUBTOTAL(3,C$4:C1319)</f>
        <v>1281</v>
      </c>
      <c r="C1319" s="41">
        <v>24023528</v>
      </c>
      <c r="D1319" s="41" t="s">
        <v>1046</v>
      </c>
      <c r="E1319" s="41" t="s">
        <v>30</v>
      </c>
      <c r="F1319" s="41" t="s">
        <v>1035</v>
      </c>
      <c r="G1319" s="41" t="s">
        <v>24</v>
      </c>
      <c r="H1319" s="42"/>
    </row>
    <row r="1320" spans="2:8" ht="18" customHeight="1" x14ac:dyDescent="0.25">
      <c r="B1320" s="40">
        <f>SUBTOTAL(3,C$4:C1320)</f>
        <v>1282</v>
      </c>
      <c r="C1320" s="41">
        <v>24168739</v>
      </c>
      <c r="D1320" s="41" t="s">
        <v>1057</v>
      </c>
      <c r="E1320" s="41" t="s">
        <v>30</v>
      </c>
      <c r="F1320" s="41" t="s">
        <v>1035</v>
      </c>
      <c r="G1320" s="41" t="s">
        <v>24</v>
      </c>
      <c r="H1320" s="42"/>
    </row>
    <row r="1321" spans="2:8" ht="18" customHeight="1" x14ac:dyDescent="0.25">
      <c r="B1321" s="40">
        <f>SUBTOTAL(3,C$4:C1321)</f>
        <v>1283</v>
      </c>
      <c r="C1321" s="41">
        <v>24029887</v>
      </c>
      <c r="D1321" s="41" t="s">
        <v>1059</v>
      </c>
      <c r="E1321" s="41" t="s">
        <v>30</v>
      </c>
      <c r="F1321" s="41" t="s">
        <v>1035</v>
      </c>
      <c r="G1321" s="41" t="s">
        <v>24</v>
      </c>
      <c r="H1321" s="42"/>
    </row>
    <row r="1322" spans="2:8" ht="18" customHeight="1" x14ac:dyDescent="0.25">
      <c r="B1322" s="40">
        <f>SUBTOTAL(3,C$4:C1322)</f>
        <v>1284</v>
      </c>
      <c r="C1322" s="41">
        <v>24026673</v>
      </c>
      <c r="D1322" s="41" t="s">
        <v>1063</v>
      </c>
      <c r="E1322" s="41" t="s">
        <v>30</v>
      </c>
      <c r="F1322" s="41" t="s">
        <v>1035</v>
      </c>
      <c r="G1322" s="41" t="s">
        <v>24</v>
      </c>
      <c r="H1322" s="42"/>
    </row>
    <row r="1323" spans="2:8" ht="18" customHeight="1" x14ac:dyDescent="0.25">
      <c r="B1323" s="40">
        <f>SUBTOTAL(3,C$4:C1323)</f>
        <v>1285</v>
      </c>
      <c r="C1323" s="41">
        <v>24030709</v>
      </c>
      <c r="D1323" s="41" t="s">
        <v>1068</v>
      </c>
      <c r="E1323" s="41" t="s">
        <v>30</v>
      </c>
      <c r="F1323" s="41" t="s">
        <v>1035</v>
      </c>
      <c r="G1323" s="41" t="s">
        <v>24</v>
      </c>
      <c r="H1323" s="42"/>
    </row>
    <row r="1324" spans="2:8" ht="18" customHeight="1" x14ac:dyDescent="0.25">
      <c r="B1324" s="40">
        <f>SUBTOTAL(3,C$4:C1324)</f>
        <v>1286</v>
      </c>
      <c r="C1324" s="41">
        <v>24255919</v>
      </c>
      <c r="D1324" s="41" t="s">
        <v>1071</v>
      </c>
      <c r="E1324" s="41" t="s">
        <v>30</v>
      </c>
      <c r="F1324" s="41" t="s">
        <v>1035</v>
      </c>
      <c r="G1324" s="41" t="s">
        <v>24</v>
      </c>
      <c r="H1324" s="42"/>
    </row>
    <row r="1325" spans="2:8" ht="18" customHeight="1" x14ac:dyDescent="0.25">
      <c r="B1325" s="40">
        <f>SUBTOTAL(3,C$4:C1325)</f>
        <v>1287</v>
      </c>
      <c r="C1325" s="41">
        <v>24020183</v>
      </c>
      <c r="D1325" s="41" t="s">
        <v>2376</v>
      </c>
      <c r="E1325" s="41" t="s">
        <v>33</v>
      </c>
      <c r="F1325" s="41" t="s">
        <v>33</v>
      </c>
      <c r="G1325" s="41" t="s">
        <v>24</v>
      </c>
      <c r="H1325" s="42"/>
    </row>
    <row r="1326" spans="2:8" ht="18" customHeight="1" x14ac:dyDescent="0.25">
      <c r="B1326" s="40">
        <f>SUBTOTAL(3,C$4:C1326)</f>
        <v>1288</v>
      </c>
      <c r="C1326" s="41">
        <v>24039954</v>
      </c>
      <c r="D1326" s="41" t="s">
        <v>2157</v>
      </c>
      <c r="E1326" s="41" t="s">
        <v>33</v>
      </c>
      <c r="F1326" s="41" t="s">
        <v>2158</v>
      </c>
      <c r="G1326" s="41" t="s">
        <v>24</v>
      </c>
      <c r="H1326" s="42"/>
    </row>
    <row r="1327" spans="2:8" ht="18" customHeight="1" x14ac:dyDescent="0.25">
      <c r="B1327" s="40">
        <f>SUBTOTAL(3,C$4:C1327)</f>
        <v>1289</v>
      </c>
      <c r="C1327" s="41">
        <v>24025819</v>
      </c>
      <c r="D1327" s="41" t="s">
        <v>1210</v>
      </c>
      <c r="E1327" s="41" t="s">
        <v>33</v>
      </c>
      <c r="F1327" s="41" t="s">
        <v>1211</v>
      </c>
      <c r="G1327" s="41" t="s">
        <v>24</v>
      </c>
      <c r="H1327" s="42"/>
    </row>
    <row r="1328" spans="2:8" ht="18" customHeight="1" x14ac:dyDescent="0.25">
      <c r="B1328" s="40">
        <f>SUBTOTAL(3,C$4:C1328)</f>
        <v>1290</v>
      </c>
      <c r="C1328" s="41">
        <v>24033452</v>
      </c>
      <c r="D1328" s="41" t="s">
        <v>1163</v>
      </c>
      <c r="E1328" s="41" t="s">
        <v>33</v>
      </c>
      <c r="F1328" s="41" t="s">
        <v>1164</v>
      </c>
      <c r="G1328" s="41" t="s">
        <v>24</v>
      </c>
      <c r="H1328" s="42"/>
    </row>
    <row r="1329" spans="2:8" ht="18" customHeight="1" x14ac:dyDescent="0.25">
      <c r="B1329" s="40">
        <f>SUBTOTAL(3,C$4:C1329)</f>
        <v>1291</v>
      </c>
      <c r="C1329" s="41">
        <v>24022857</v>
      </c>
      <c r="D1329" s="41" t="s">
        <v>1151</v>
      </c>
      <c r="E1329" s="41" t="s">
        <v>33</v>
      </c>
      <c r="F1329" s="41" t="s">
        <v>1152</v>
      </c>
      <c r="G1329" s="41" t="s">
        <v>24</v>
      </c>
      <c r="H1329" s="42"/>
    </row>
    <row r="1330" spans="2:8" ht="18" customHeight="1" x14ac:dyDescent="0.25">
      <c r="B1330" s="40">
        <f>SUBTOTAL(3,C$4:C1330)</f>
        <v>1292</v>
      </c>
      <c r="C1330" s="41">
        <v>24027448</v>
      </c>
      <c r="D1330" s="41" t="s">
        <v>1886</v>
      </c>
      <c r="E1330" s="41" t="s">
        <v>33</v>
      </c>
      <c r="F1330" s="41" t="s">
        <v>1887</v>
      </c>
      <c r="G1330" s="41" t="s">
        <v>24</v>
      </c>
      <c r="H1330" s="42"/>
    </row>
    <row r="1331" spans="2:8" ht="18" customHeight="1" x14ac:dyDescent="0.25">
      <c r="B1331" s="40">
        <f>SUBTOTAL(3,C$4:C1331)</f>
        <v>1293</v>
      </c>
      <c r="C1331" s="41">
        <v>24029028</v>
      </c>
      <c r="D1331" s="41" t="s">
        <v>2062</v>
      </c>
      <c r="E1331" s="41" t="s">
        <v>33</v>
      </c>
      <c r="F1331" s="41" t="s">
        <v>2063</v>
      </c>
      <c r="G1331" s="41" t="s">
        <v>24</v>
      </c>
      <c r="H1331" s="42"/>
    </row>
    <row r="1332" spans="2:8" ht="18" customHeight="1" x14ac:dyDescent="0.25">
      <c r="B1332" s="40">
        <f>SUBTOTAL(3,C$4:C1332)</f>
        <v>1294</v>
      </c>
      <c r="C1332" s="41">
        <v>24025974</v>
      </c>
      <c r="D1332" s="41" t="s">
        <v>2418</v>
      </c>
      <c r="E1332" s="41" t="s">
        <v>33</v>
      </c>
      <c r="F1332" s="41" t="s">
        <v>2419</v>
      </c>
      <c r="G1332" s="41" t="s">
        <v>24</v>
      </c>
      <c r="H1332" s="42"/>
    </row>
    <row r="1333" spans="2:8" ht="18" customHeight="1" x14ac:dyDescent="0.25">
      <c r="B1333" s="40">
        <f>SUBTOTAL(3,C$4:C1333)</f>
        <v>1295</v>
      </c>
      <c r="C1333" s="41">
        <v>24019583</v>
      </c>
      <c r="D1333" s="41" t="s">
        <v>2260</v>
      </c>
      <c r="E1333" s="41" t="s">
        <v>33</v>
      </c>
      <c r="F1333" s="41" t="s">
        <v>2261</v>
      </c>
      <c r="G1333" s="41" t="s">
        <v>24</v>
      </c>
      <c r="H1333" s="42"/>
    </row>
    <row r="1334" spans="2:8" ht="18" customHeight="1" x14ac:dyDescent="0.25">
      <c r="B1334" s="40">
        <f>SUBTOTAL(3,C$4:C1334)</f>
        <v>1296</v>
      </c>
      <c r="C1334" s="41">
        <v>24034536</v>
      </c>
      <c r="D1334" s="41" t="s">
        <v>2161</v>
      </c>
      <c r="E1334" s="41" t="s">
        <v>33</v>
      </c>
      <c r="F1334" s="41" t="s">
        <v>2162</v>
      </c>
      <c r="G1334" s="41" t="s">
        <v>24</v>
      </c>
      <c r="H1334" s="42"/>
    </row>
    <row r="1335" spans="2:8" ht="18" customHeight="1" x14ac:dyDescent="0.25">
      <c r="B1335" s="40">
        <f>SUBTOTAL(3,C$4:C1335)</f>
        <v>1297</v>
      </c>
      <c r="C1335" s="41">
        <v>24019098</v>
      </c>
      <c r="D1335" s="41" t="s">
        <v>2218</v>
      </c>
      <c r="E1335" s="41" t="s">
        <v>33</v>
      </c>
      <c r="F1335" s="41" t="s">
        <v>2219</v>
      </c>
      <c r="G1335" s="41" t="s">
        <v>24</v>
      </c>
      <c r="H1335" s="42"/>
    </row>
    <row r="1336" spans="2:8" ht="18" customHeight="1" x14ac:dyDescent="0.25">
      <c r="B1336" s="40">
        <f>SUBTOTAL(3,C$4:C1336)</f>
        <v>1298</v>
      </c>
      <c r="C1336" s="41">
        <v>24171016</v>
      </c>
      <c r="D1336" s="41" t="s">
        <v>1913</v>
      </c>
      <c r="E1336" s="41" t="s">
        <v>33</v>
      </c>
      <c r="F1336" s="41" t="s">
        <v>1914</v>
      </c>
      <c r="G1336" s="41" t="s">
        <v>24</v>
      </c>
      <c r="H1336" s="42"/>
    </row>
    <row r="1337" spans="2:8" ht="18" customHeight="1" x14ac:dyDescent="0.25">
      <c r="B1337" s="40">
        <f>SUBTOTAL(3,C$4:C1337)</f>
        <v>1299</v>
      </c>
      <c r="C1337" s="41">
        <v>24032775</v>
      </c>
      <c r="D1337" s="41" t="s">
        <v>2239</v>
      </c>
      <c r="E1337" s="41" t="s">
        <v>33</v>
      </c>
      <c r="F1337" s="41" t="s">
        <v>2240</v>
      </c>
      <c r="G1337" s="41" t="s">
        <v>24</v>
      </c>
      <c r="H1337" s="42"/>
    </row>
    <row r="1338" spans="2:8" ht="18" hidden="1" customHeight="1" x14ac:dyDescent="0.25">
      <c r="B1338" s="40">
        <f>SUBTOTAL(3,C$4:C1338)</f>
        <v>1299</v>
      </c>
      <c r="C1338" s="41">
        <v>24098349</v>
      </c>
      <c r="D1338" s="41" t="s">
        <v>1945</v>
      </c>
      <c r="E1338" s="41" t="s">
        <v>33</v>
      </c>
      <c r="F1338" s="41" t="s">
        <v>1946</v>
      </c>
      <c r="G1338" s="41" t="s">
        <v>27</v>
      </c>
      <c r="H1338" s="42"/>
    </row>
    <row r="1339" spans="2:8" ht="18" hidden="1" customHeight="1" x14ac:dyDescent="0.25">
      <c r="B1339" s="40">
        <f>SUBTOTAL(3,C$4:C1339)</f>
        <v>1299</v>
      </c>
      <c r="C1339" s="41">
        <v>24091006</v>
      </c>
      <c r="D1339" s="41" t="s">
        <v>2018</v>
      </c>
      <c r="E1339" s="41" t="s">
        <v>33</v>
      </c>
      <c r="F1339" s="41" t="s">
        <v>1946</v>
      </c>
      <c r="G1339" s="41" t="s">
        <v>27</v>
      </c>
      <c r="H1339" s="42"/>
    </row>
    <row r="1340" spans="2:8" ht="18" hidden="1" customHeight="1" x14ac:dyDescent="0.25">
      <c r="B1340" s="40">
        <f>SUBTOTAL(3,C$4:C1340)</f>
        <v>1299</v>
      </c>
      <c r="C1340" s="41">
        <v>24106524</v>
      </c>
      <c r="D1340" s="41" t="s">
        <v>2092</v>
      </c>
      <c r="E1340" s="41" t="s">
        <v>33</v>
      </c>
      <c r="F1340" s="41" t="s">
        <v>1946</v>
      </c>
      <c r="G1340" s="41" t="s">
        <v>27</v>
      </c>
      <c r="H1340" s="42"/>
    </row>
    <row r="1341" spans="2:8" ht="18" hidden="1" customHeight="1" x14ac:dyDescent="0.25">
      <c r="B1341" s="40">
        <f>SUBTOTAL(3,C$4:C1341)</f>
        <v>1299</v>
      </c>
      <c r="C1341" s="41">
        <v>24089879</v>
      </c>
      <c r="D1341" s="41" t="s">
        <v>2297</v>
      </c>
      <c r="E1341" s="41" t="s">
        <v>33</v>
      </c>
      <c r="F1341" s="41" t="s">
        <v>2298</v>
      </c>
      <c r="G1341" s="41" t="s">
        <v>27</v>
      </c>
      <c r="H1341" s="42"/>
    </row>
    <row r="1342" spans="2:8" ht="18" hidden="1" customHeight="1" x14ac:dyDescent="0.25">
      <c r="B1342" s="40">
        <f>SUBTOTAL(3,C$4:C1342)</f>
        <v>1299</v>
      </c>
      <c r="C1342" s="41">
        <v>24088643</v>
      </c>
      <c r="D1342" s="41" t="s">
        <v>1980</v>
      </c>
      <c r="E1342" s="41" t="s">
        <v>33</v>
      </c>
      <c r="F1342" s="41" t="s">
        <v>1104</v>
      </c>
      <c r="G1342" s="41" t="s">
        <v>27</v>
      </c>
      <c r="H1342" s="42" t="s">
        <v>1981</v>
      </c>
    </row>
    <row r="1343" spans="2:8" ht="18" hidden="1" customHeight="1" x14ac:dyDescent="0.25">
      <c r="B1343" s="40">
        <f>SUBTOTAL(3,C$4:C1343)</f>
        <v>1299</v>
      </c>
      <c r="C1343" s="41">
        <v>24101245</v>
      </c>
      <c r="D1343" s="41" t="s">
        <v>2066</v>
      </c>
      <c r="E1343" s="41" t="s">
        <v>33</v>
      </c>
      <c r="F1343" s="41" t="s">
        <v>1104</v>
      </c>
      <c r="G1343" s="41" t="s">
        <v>27</v>
      </c>
      <c r="H1343" s="42" t="s">
        <v>2067</v>
      </c>
    </row>
    <row r="1344" spans="2:8" ht="18" hidden="1" customHeight="1" x14ac:dyDescent="0.25">
      <c r="B1344" s="40">
        <f>SUBTOTAL(3,C$4:C1344)</f>
        <v>1299</v>
      </c>
      <c r="C1344" s="41">
        <v>24114140</v>
      </c>
      <c r="D1344" s="41" t="s">
        <v>1103</v>
      </c>
      <c r="E1344" s="41" t="s">
        <v>33</v>
      </c>
      <c r="F1344" s="41" t="s">
        <v>1104</v>
      </c>
      <c r="G1344" s="41" t="s">
        <v>27</v>
      </c>
      <c r="H1344" s="42" t="s">
        <v>1105</v>
      </c>
    </row>
    <row r="1345" spans="2:8" ht="18" hidden="1" customHeight="1" x14ac:dyDescent="0.25">
      <c r="B1345" s="40">
        <f>SUBTOTAL(3,C$4:C1345)</f>
        <v>1299</v>
      </c>
      <c r="C1345" s="41">
        <v>24113809</v>
      </c>
      <c r="D1345" s="41" t="s">
        <v>1256</v>
      </c>
      <c r="E1345" s="41" t="s">
        <v>33</v>
      </c>
      <c r="F1345" s="41" t="s">
        <v>1104</v>
      </c>
      <c r="G1345" s="41" t="s">
        <v>27</v>
      </c>
      <c r="H1345" s="42" t="s">
        <v>1257</v>
      </c>
    </row>
    <row r="1346" spans="2:8" ht="18" customHeight="1" x14ac:dyDescent="0.25">
      <c r="B1346" s="40">
        <f>SUBTOTAL(3,C$4:C1346)</f>
        <v>1300</v>
      </c>
      <c r="C1346" s="41">
        <v>24036455</v>
      </c>
      <c r="D1346" s="41" t="s">
        <v>1364</v>
      </c>
      <c r="E1346" s="41" t="s">
        <v>33</v>
      </c>
      <c r="F1346" s="41" t="s">
        <v>1104</v>
      </c>
      <c r="G1346" s="41" t="s">
        <v>24</v>
      </c>
      <c r="H1346" s="42"/>
    </row>
    <row r="1347" spans="2:8" ht="18" hidden="1" customHeight="1" x14ac:dyDescent="0.25">
      <c r="B1347" s="40">
        <f>SUBTOTAL(3,C$4:C1347)</f>
        <v>1300</v>
      </c>
      <c r="C1347" s="41">
        <v>24100945</v>
      </c>
      <c r="D1347" s="41" t="s">
        <v>1859</v>
      </c>
      <c r="E1347" s="41" t="s">
        <v>33</v>
      </c>
      <c r="F1347" s="41" t="s">
        <v>1860</v>
      </c>
      <c r="G1347" s="41" t="s">
        <v>27</v>
      </c>
      <c r="H1347" s="42" t="s">
        <v>1861</v>
      </c>
    </row>
    <row r="1348" spans="2:8" ht="18" hidden="1" customHeight="1" x14ac:dyDescent="0.25">
      <c r="B1348" s="40">
        <f>SUBTOTAL(3,C$4:C1348)</f>
        <v>1300</v>
      </c>
      <c r="C1348" s="41">
        <v>24105047</v>
      </c>
      <c r="D1348" s="41" t="s">
        <v>2262</v>
      </c>
      <c r="E1348" s="41" t="s">
        <v>33</v>
      </c>
      <c r="F1348" s="41" t="s">
        <v>2263</v>
      </c>
      <c r="G1348" s="41" t="s">
        <v>27</v>
      </c>
      <c r="H1348" s="42" t="s">
        <v>2067</v>
      </c>
    </row>
    <row r="1349" spans="2:8" ht="18" hidden="1" customHeight="1" x14ac:dyDescent="0.25">
      <c r="B1349" s="40">
        <f>SUBTOTAL(3,C$4:C1349)</f>
        <v>1300</v>
      </c>
      <c r="C1349" s="41">
        <v>24020556</v>
      </c>
      <c r="D1349" s="41" t="s">
        <v>1935</v>
      </c>
      <c r="E1349" s="41" t="s">
        <v>33</v>
      </c>
      <c r="F1349" s="41" t="s">
        <v>1936</v>
      </c>
      <c r="G1349" s="41" t="s">
        <v>27</v>
      </c>
      <c r="H1349" s="42" t="s">
        <v>1937</v>
      </c>
    </row>
    <row r="1350" spans="2:8" ht="18" hidden="1" customHeight="1" x14ac:dyDescent="0.25">
      <c r="B1350" s="40">
        <f>SUBTOTAL(3,C$4:C1350)</f>
        <v>1300</v>
      </c>
      <c r="C1350" s="41">
        <v>24039891</v>
      </c>
      <c r="D1350" s="41" t="s">
        <v>1992</v>
      </c>
      <c r="E1350" s="41" t="s">
        <v>33</v>
      </c>
      <c r="F1350" s="41" t="s">
        <v>1173</v>
      </c>
      <c r="G1350" s="41" t="s">
        <v>27</v>
      </c>
      <c r="H1350" s="42" t="s">
        <v>1148</v>
      </c>
    </row>
    <row r="1351" spans="2:8" ht="18" customHeight="1" x14ac:dyDescent="0.25">
      <c r="B1351" s="40">
        <f>SUBTOTAL(3,C$4:C1351)</f>
        <v>1301</v>
      </c>
      <c r="C1351" s="41">
        <v>24024519</v>
      </c>
      <c r="D1351" s="41" t="s">
        <v>1171</v>
      </c>
      <c r="E1351" s="41" t="s">
        <v>33</v>
      </c>
      <c r="F1351" s="41" t="s">
        <v>1173</v>
      </c>
      <c r="G1351" s="41" t="s">
        <v>24</v>
      </c>
      <c r="H1351" s="42"/>
    </row>
    <row r="1352" spans="2:8" ht="18" customHeight="1" x14ac:dyDescent="0.25">
      <c r="B1352" s="40">
        <f>SUBTOTAL(3,C$4:C1352)</f>
        <v>1302</v>
      </c>
      <c r="C1352" s="41">
        <v>24117275</v>
      </c>
      <c r="D1352" s="41" t="s">
        <v>1208</v>
      </c>
      <c r="E1352" s="41" t="s">
        <v>33</v>
      </c>
      <c r="F1352" s="41" t="s">
        <v>1209</v>
      </c>
      <c r="G1352" s="41" t="s">
        <v>28</v>
      </c>
      <c r="H1352" s="42"/>
    </row>
    <row r="1353" spans="2:8" ht="18" hidden="1" customHeight="1" x14ac:dyDescent="0.25">
      <c r="B1353" s="40">
        <f>SUBTOTAL(3,C$4:C1353)</f>
        <v>1302</v>
      </c>
      <c r="C1353" s="41">
        <v>24111921</v>
      </c>
      <c r="D1353" s="41" t="s">
        <v>2107</v>
      </c>
      <c r="E1353" s="41" t="s">
        <v>33</v>
      </c>
      <c r="F1353" s="41" t="s">
        <v>1209</v>
      </c>
      <c r="G1353" s="41" t="s">
        <v>27</v>
      </c>
      <c r="H1353" s="42" t="s">
        <v>2108</v>
      </c>
    </row>
    <row r="1354" spans="2:8" ht="18" customHeight="1" x14ac:dyDescent="0.25">
      <c r="B1354" s="40">
        <f>SUBTOTAL(3,C$4:C1354)</f>
        <v>1303</v>
      </c>
      <c r="C1354" s="41">
        <v>24088532</v>
      </c>
      <c r="D1354" s="41" t="s">
        <v>2152</v>
      </c>
      <c r="E1354" s="41" t="s">
        <v>33</v>
      </c>
      <c r="F1354" s="41" t="s">
        <v>1209</v>
      </c>
      <c r="G1354" s="41" t="s">
        <v>28</v>
      </c>
      <c r="H1354" s="42"/>
    </row>
    <row r="1355" spans="2:8" ht="18" customHeight="1" x14ac:dyDescent="0.25">
      <c r="B1355" s="40">
        <f>SUBTOTAL(3,C$4:C1355)</f>
        <v>1304</v>
      </c>
      <c r="C1355" s="41">
        <v>24095624</v>
      </c>
      <c r="D1355" s="41" t="s">
        <v>2417</v>
      </c>
      <c r="E1355" s="41" t="s">
        <v>33</v>
      </c>
      <c r="F1355" s="41" t="s">
        <v>1209</v>
      </c>
      <c r="G1355" s="41" t="s">
        <v>28</v>
      </c>
      <c r="H1355" s="42"/>
    </row>
    <row r="1356" spans="2:8" ht="18" hidden="1" customHeight="1" x14ac:dyDescent="0.25">
      <c r="B1356" s="40">
        <f>SUBTOTAL(3,C$4:C1356)</f>
        <v>1304</v>
      </c>
      <c r="C1356" s="41">
        <v>24103941</v>
      </c>
      <c r="D1356" s="41" t="s">
        <v>1224</v>
      </c>
      <c r="E1356" s="41" t="s">
        <v>33</v>
      </c>
      <c r="F1356" s="41" t="s">
        <v>1225</v>
      </c>
      <c r="G1356" s="41" t="s">
        <v>27</v>
      </c>
      <c r="H1356" s="42"/>
    </row>
    <row r="1357" spans="2:8" ht="18" customHeight="1" x14ac:dyDescent="0.25">
      <c r="B1357" s="40">
        <f>SUBTOTAL(3,C$4:C1357)</f>
        <v>1305</v>
      </c>
      <c r="C1357" s="41">
        <v>24291887</v>
      </c>
      <c r="D1357" s="41" t="s">
        <v>2174</v>
      </c>
      <c r="E1357" s="41" t="s">
        <v>33</v>
      </c>
      <c r="F1357" s="41" t="s">
        <v>2175</v>
      </c>
      <c r="G1357" s="41" t="s">
        <v>28</v>
      </c>
      <c r="H1357" s="42"/>
    </row>
    <row r="1358" spans="2:8" ht="18" customHeight="1" x14ac:dyDescent="0.25">
      <c r="B1358" s="40">
        <f>SUBTOTAL(3,C$4:C1358)</f>
        <v>1306</v>
      </c>
      <c r="C1358" s="41">
        <v>24120154</v>
      </c>
      <c r="D1358" s="41" t="s">
        <v>1927</v>
      </c>
      <c r="E1358" s="41" t="s">
        <v>33</v>
      </c>
      <c r="F1358" s="41" t="s">
        <v>1928</v>
      </c>
      <c r="G1358" s="41" t="s">
        <v>28</v>
      </c>
      <c r="H1358" s="42"/>
    </row>
    <row r="1359" spans="2:8" ht="18" customHeight="1" x14ac:dyDescent="0.25">
      <c r="B1359" s="40">
        <f>SUBTOTAL(3,C$4:C1359)</f>
        <v>1307</v>
      </c>
      <c r="C1359" s="41">
        <v>24019294</v>
      </c>
      <c r="D1359" s="41" t="s">
        <v>1232</v>
      </c>
      <c r="E1359" s="41" t="s">
        <v>33</v>
      </c>
      <c r="F1359" s="41" t="s">
        <v>1233</v>
      </c>
      <c r="G1359" s="41" t="s">
        <v>28</v>
      </c>
      <c r="H1359" s="42"/>
    </row>
    <row r="1360" spans="2:8" ht="18" customHeight="1" x14ac:dyDescent="0.25">
      <c r="B1360" s="40">
        <f>SUBTOTAL(3,C$4:C1360)</f>
        <v>1308</v>
      </c>
      <c r="C1360" s="41">
        <v>24321011</v>
      </c>
      <c r="D1360" s="41" t="s">
        <v>1851</v>
      </c>
      <c r="E1360" s="41" t="s">
        <v>33</v>
      </c>
      <c r="F1360" s="41" t="s">
        <v>1852</v>
      </c>
      <c r="G1360" s="41" t="s">
        <v>28</v>
      </c>
      <c r="H1360" s="42"/>
    </row>
    <row r="1361" spans="2:8" ht="18" customHeight="1" x14ac:dyDescent="0.25">
      <c r="B1361" s="40">
        <f>SUBTOTAL(3,C$4:C1361)</f>
        <v>1309</v>
      </c>
      <c r="C1361" s="41">
        <v>24348278</v>
      </c>
      <c r="D1361" s="41" t="s">
        <v>1934</v>
      </c>
      <c r="E1361" s="41" t="s">
        <v>33</v>
      </c>
      <c r="F1361" s="41" t="s">
        <v>1852</v>
      </c>
      <c r="G1361" s="41" t="s">
        <v>28</v>
      </c>
      <c r="H1361" s="42"/>
    </row>
    <row r="1362" spans="2:8" ht="18" customHeight="1" x14ac:dyDescent="0.25">
      <c r="B1362" s="40">
        <f>SUBTOTAL(3,C$4:C1362)</f>
        <v>1310</v>
      </c>
      <c r="C1362" s="41">
        <v>24353579</v>
      </c>
      <c r="D1362" s="41" t="s">
        <v>1792</v>
      </c>
      <c r="E1362" s="41" t="s">
        <v>33</v>
      </c>
      <c r="F1362" s="41" t="s">
        <v>1793</v>
      </c>
      <c r="G1362" s="41" t="s">
        <v>28</v>
      </c>
      <c r="H1362" s="42"/>
    </row>
    <row r="1363" spans="2:8" ht="18" customHeight="1" x14ac:dyDescent="0.25">
      <c r="B1363" s="40">
        <f>SUBTOTAL(3,C$4:C1363)</f>
        <v>1311</v>
      </c>
      <c r="C1363" s="41">
        <v>24301022</v>
      </c>
      <c r="D1363" s="41" t="s">
        <v>1801</v>
      </c>
      <c r="E1363" s="41" t="s">
        <v>33</v>
      </c>
      <c r="F1363" s="41" t="s">
        <v>1802</v>
      </c>
      <c r="G1363" s="41" t="s">
        <v>28</v>
      </c>
      <c r="H1363" s="42"/>
    </row>
    <row r="1364" spans="2:8" ht="18" customHeight="1" x14ac:dyDescent="0.25">
      <c r="B1364" s="40">
        <f>SUBTOTAL(3,C$4:C1364)</f>
        <v>1312</v>
      </c>
      <c r="C1364" s="41">
        <v>24268199</v>
      </c>
      <c r="D1364" s="41" t="s">
        <v>2029</v>
      </c>
      <c r="E1364" s="41" t="s">
        <v>33</v>
      </c>
      <c r="F1364" s="41" t="s">
        <v>2030</v>
      </c>
      <c r="G1364" s="41" t="s">
        <v>28</v>
      </c>
      <c r="H1364" s="42"/>
    </row>
    <row r="1365" spans="2:8" ht="18" customHeight="1" x14ac:dyDescent="0.25">
      <c r="B1365" s="40">
        <f>SUBTOTAL(3,C$4:C1365)</f>
        <v>1313</v>
      </c>
      <c r="C1365" s="41">
        <v>24268200</v>
      </c>
      <c r="D1365" s="41" t="s">
        <v>1192</v>
      </c>
      <c r="E1365" s="41" t="s">
        <v>33</v>
      </c>
      <c r="F1365" s="41" t="s">
        <v>1193</v>
      </c>
      <c r="G1365" s="41" t="s">
        <v>28</v>
      </c>
      <c r="H1365" s="42"/>
    </row>
    <row r="1366" spans="2:8" ht="18" customHeight="1" x14ac:dyDescent="0.25">
      <c r="B1366" s="40">
        <f>SUBTOTAL(3,C$4:C1366)</f>
        <v>1314</v>
      </c>
      <c r="C1366" s="41">
        <v>24019732</v>
      </c>
      <c r="D1366" s="41" t="s">
        <v>1797</v>
      </c>
      <c r="E1366" s="41" t="s">
        <v>33</v>
      </c>
      <c r="F1366" s="41" t="s">
        <v>1166</v>
      </c>
      <c r="G1366" s="41" t="s">
        <v>28</v>
      </c>
      <c r="H1366" s="42"/>
    </row>
    <row r="1367" spans="2:8" ht="18" customHeight="1" x14ac:dyDescent="0.25">
      <c r="B1367" s="40">
        <f>SUBTOTAL(3,C$4:C1367)</f>
        <v>1315</v>
      </c>
      <c r="C1367" s="41">
        <v>24104977</v>
      </c>
      <c r="D1367" s="41" t="s">
        <v>1836</v>
      </c>
      <c r="E1367" s="41" t="s">
        <v>33</v>
      </c>
      <c r="F1367" s="41" t="s">
        <v>1166</v>
      </c>
      <c r="G1367" s="41" t="s">
        <v>28</v>
      </c>
      <c r="H1367" s="42"/>
    </row>
    <row r="1368" spans="2:8" ht="18" customHeight="1" x14ac:dyDescent="0.25">
      <c r="B1368" s="40">
        <f>SUBTOTAL(3,C$4:C1368)</f>
        <v>1316</v>
      </c>
      <c r="C1368" s="41">
        <v>24089595</v>
      </c>
      <c r="D1368" s="41" t="s">
        <v>1854</v>
      </c>
      <c r="E1368" s="41" t="s">
        <v>33</v>
      </c>
      <c r="F1368" s="41" t="s">
        <v>1166</v>
      </c>
      <c r="G1368" s="41" t="s">
        <v>28</v>
      </c>
      <c r="H1368" s="42"/>
    </row>
    <row r="1369" spans="2:8" ht="18" customHeight="1" x14ac:dyDescent="0.25">
      <c r="B1369" s="40">
        <f>SUBTOTAL(3,C$4:C1369)</f>
        <v>1317</v>
      </c>
      <c r="C1369" s="41">
        <v>24151457</v>
      </c>
      <c r="D1369" s="41" t="s">
        <v>1866</v>
      </c>
      <c r="E1369" s="41" t="s">
        <v>33</v>
      </c>
      <c r="F1369" s="41" t="s">
        <v>1166</v>
      </c>
      <c r="G1369" s="41" t="s">
        <v>28</v>
      </c>
      <c r="H1369" s="42"/>
    </row>
    <row r="1370" spans="2:8" ht="18" customHeight="1" x14ac:dyDescent="0.25">
      <c r="B1370" s="40">
        <f>SUBTOTAL(3,C$4:C1370)</f>
        <v>1318</v>
      </c>
      <c r="C1370" s="41">
        <v>24105596</v>
      </c>
      <c r="D1370" s="41" t="s">
        <v>1947</v>
      </c>
      <c r="E1370" s="41" t="s">
        <v>33</v>
      </c>
      <c r="F1370" s="41" t="s">
        <v>1166</v>
      </c>
      <c r="G1370" s="41" t="s">
        <v>28</v>
      </c>
      <c r="H1370" s="42"/>
    </row>
    <row r="1371" spans="2:8" ht="18" customHeight="1" x14ac:dyDescent="0.25">
      <c r="B1371" s="40">
        <f>SUBTOTAL(3,C$4:C1371)</f>
        <v>1319</v>
      </c>
      <c r="C1371" s="41">
        <v>24107174</v>
      </c>
      <c r="D1371" s="41" t="s">
        <v>1976</v>
      </c>
      <c r="E1371" s="41" t="s">
        <v>33</v>
      </c>
      <c r="F1371" s="41" t="s">
        <v>1166</v>
      </c>
      <c r="G1371" s="41" t="s">
        <v>28</v>
      </c>
      <c r="H1371" s="42"/>
    </row>
    <row r="1372" spans="2:8" ht="18" customHeight="1" x14ac:dyDescent="0.25">
      <c r="B1372" s="40">
        <f>SUBTOTAL(3,C$4:C1372)</f>
        <v>1320</v>
      </c>
      <c r="C1372" s="41">
        <v>24102843</v>
      </c>
      <c r="D1372" s="41" t="s">
        <v>1982</v>
      </c>
      <c r="E1372" s="41" t="s">
        <v>33</v>
      </c>
      <c r="F1372" s="41" t="s">
        <v>1166</v>
      </c>
      <c r="G1372" s="41" t="s">
        <v>28</v>
      </c>
      <c r="H1372" s="42"/>
    </row>
    <row r="1373" spans="2:8" ht="18" customHeight="1" x14ac:dyDescent="0.25">
      <c r="B1373" s="40">
        <f>SUBTOTAL(3,C$4:C1373)</f>
        <v>1321</v>
      </c>
      <c r="C1373" s="41">
        <v>24105151</v>
      </c>
      <c r="D1373" s="41" t="s">
        <v>2013</v>
      </c>
      <c r="E1373" s="41" t="s">
        <v>33</v>
      </c>
      <c r="F1373" s="41" t="s">
        <v>1166</v>
      </c>
      <c r="G1373" s="41" t="s">
        <v>28</v>
      </c>
      <c r="H1373" s="42"/>
    </row>
    <row r="1374" spans="2:8" ht="18" customHeight="1" x14ac:dyDescent="0.25">
      <c r="B1374" s="40">
        <f>SUBTOTAL(3,C$4:C1374)</f>
        <v>1322</v>
      </c>
      <c r="C1374" s="41">
        <v>24100530</v>
      </c>
      <c r="D1374" s="41" t="s">
        <v>2037</v>
      </c>
      <c r="E1374" s="41" t="s">
        <v>33</v>
      </c>
      <c r="F1374" s="41" t="s">
        <v>1166</v>
      </c>
      <c r="G1374" s="41" t="s">
        <v>28</v>
      </c>
      <c r="H1374" s="42"/>
    </row>
    <row r="1375" spans="2:8" ht="18" customHeight="1" x14ac:dyDescent="0.25">
      <c r="B1375" s="40">
        <f>SUBTOTAL(3,C$4:C1375)</f>
        <v>1323</v>
      </c>
      <c r="C1375" s="41">
        <v>24117725</v>
      </c>
      <c r="D1375" s="41" t="s">
        <v>2039</v>
      </c>
      <c r="E1375" s="41" t="s">
        <v>33</v>
      </c>
      <c r="F1375" s="41" t="s">
        <v>1166</v>
      </c>
      <c r="G1375" s="41" t="s">
        <v>28</v>
      </c>
      <c r="H1375" s="42"/>
    </row>
    <row r="1376" spans="2:8" ht="18" customHeight="1" x14ac:dyDescent="0.25">
      <c r="B1376" s="40">
        <f>SUBTOTAL(3,C$4:C1376)</f>
        <v>1324</v>
      </c>
      <c r="C1376" s="41">
        <v>24108594</v>
      </c>
      <c r="D1376" s="41" t="s">
        <v>2078</v>
      </c>
      <c r="E1376" s="41" t="s">
        <v>33</v>
      </c>
      <c r="F1376" s="41" t="s">
        <v>1166</v>
      </c>
      <c r="G1376" s="41" t="s">
        <v>28</v>
      </c>
      <c r="H1376" s="42"/>
    </row>
    <row r="1377" spans="2:8" ht="18" customHeight="1" x14ac:dyDescent="0.25">
      <c r="B1377" s="40">
        <f>SUBTOTAL(3,C$4:C1377)</f>
        <v>1325</v>
      </c>
      <c r="C1377" s="41">
        <v>24104952</v>
      </c>
      <c r="D1377" s="41" t="s">
        <v>1165</v>
      </c>
      <c r="E1377" s="41" t="s">
        <v>33</v>
      </c>
      <c r="F1377" s="41" t="s">
        <v>1166</v>
      </c>
      <c r="G1377" s="41" t="s">
        <v>28</v>
      </c>
      <c r="H1377" s="42"/>
    </row>
    <row r="1378" spans="2:8" ht="18" customHeight="1" x14ac:dyDescent="0.25">
      <c r="B1378" s="40">
        <f>SUBTOTAL(3,C$4:C1378)</f>
        <v>1326</v>
      </c>
      <c r="C1378" s="41">
        <v>24326885</v>
      </c>
      <c r="D1378" s="41" t="s">
        <v>1177</v>
      </c>
      <c r="E1378" s="41" t="s">
        <v>33</v>
      </c>
      <c r="F1378" s="41" t="s">
        <v>1166</v>
      </c>
      <c r="G1378" s="41" t="s">
        <v>28</v>
      </c>
      <c r="H1378" s="42"/>
    </row>
    <row r="1379" spans="2:8" ht="18" customHeight="1" x14ac:dyDescent="0.25">
      <c r="B1379" s="40">
        <f>SUBTOTAL(3,C$4:C1379)</f>
        <v>1327</v>
      </c>
      <c r="C1379" s="41">
        <v>24308798</v>
      </c>
      <c r="D1379" s="41" t="s">
        <v>1178</v>
      </c>
      <c r="E1379" s="41" t="s">
        <v>33</v>
      </c>
      <c r="F1379" s="41" t="s">
        <v>1166</v>
      </c>
      <c r="G1379" s="41" t="s">
        <v>28</v>
      </c>
      <c r="H1379" s="42"/>
    </row>
    <row r="1380" spans="2:8" ht="18" customHeight="1" x14ac:dyDescent="0.25">
      <c r="B1380" s="40">
        <f>SUBTOTAL(3,C$4:C1380)</f>
        <v>1328</v>
      </c>
      <c r="C1380" s="41">
        <v>24089678</v>
      </c>
      <c r="D1380" s="41" t="s">
        <v>2119</v>
      </c>
      <c r="E1380" s="41" t="s">
        <v>33</v>
      </c>
      <c r="F1380" s="41" t="s">
        <v>1166</v>
      </c>
      <c r="G1380" s="41" t="s">
        <v>28</v>
      </c>
      <c r="H1380" s="42"/>
    </row>
    <row r="1381" spans="2:8" ht="18" customHeight="1" x14ac:dyDescent="0.25">
      <c r="B1381" s="40">
        <f>SUBTOTAL(3,C$4:C1381)</f>
        <v>1329</v>
      </c>
      <c r="C1381" s="41">
        <v>24325427</v>
      </c>
      <c r="D1381" s="41" t="s">
        <v>2165</v>
      </c>
      <c r="E1381" s="41" t="s">
        <v>33</v>
      </c>
      <c r="F1381" s="41" t="s">
        <v>1166</v>
      </c>
      <c r="G1381" s="41" t="s">
        <v>28</v>
      </c>
      <c r="H1381" s="42"/>
    </row>
    <row r="1382" spans="2:8" ht="18" customHeight="1" x14ac:dyDescent="0.25">
      <c r="B1382" s="40">
        <f>SUBTOTAL(3,C$4:C1382)</f>
        <v>1330</v>
      </c>
      <c r="C1382" s="41">
        <v>24330595</v>
      </c>
      <c r="D1382" s="41" t="s">
        <v>2224</v>
      </c>
      <c r="E1382" s="41" t="s">
        <v>33</v>
      </c>
      <c r="F1382" s="41" t="s">
        <v>1166</v>
      </c>
      <c r="G1382" s="41" t="s">
        <v>28</v>
      </c>
      <c r="H1382" s="42"/>
    </row>
    <row r="1383" spans="2:8" ht="18" hidden="1" customHeight="1" x14ac:dyDescent="0.25">
      <c r="B1383" s="40">
        <f>SUBTOTAL(3,C$4:C1383)</f>
        <v>1330</v>
      </c>
      <c r="C1383" s="41">
        <v>24089650</v>
      </c>
      <c r="D1383" s="41" t="s">
        <v>2230</v>
      </c>
      <c r="E1383" s="41" t="s">
        <v>33</v>
      </c>
      <c r="F1383" s="41" t="s">
        <v>1166</v>
      </c>
      <c r="G1383" s="41" t="s">
        <v>27</v>
      </c>
      <c r="H1383" s="42" t="s">
        <v>2231</v>
      </c>
    </row>
    <row r="1384" spans="2:8" ht="18" customHeight="1" x14ac:dyDescent="0.25">
      <c r="B1384" s="40">
        <f>SUBTOTAL(3,C$4:C1384)</f>
        <v>1331</v>
      </c>
      <c r="C1384" s="41">
        <v>24107213</v>
      </c>
      <c r="D1384" s="41" t="s">
        <v>2284</v>
      </c>
      <c r="E1384" s="41" t="s">
        <v>33</v>
      </c>
      <c r="F1384" s="41" t="s">
        <v>1166</v>
      </c>
      <c r="G1384" s="41" t="s">
        <v>28</v>
      </c>
      <c r="H1384" s="42"/>
    </row>
    <row r="1385" spans="2:8" ht="18" customHeight="1" x14ac:dyDescent="0.25">
      <c r="B1385" s="40">
        <f>SUBTOTAL(3,C$4:C1385)</f>
        <v>1332</v>
      </c>
      <c r="C1385" s="41">
        <v>24250487</v>
      </c>
      <c r="D1385" s="41" t="s">
        <v>2312</v>
      </c>
      <c r="E1385" s="41" t="s">
        <v>33</v>
      </c>
      <c r="F1385" s="41" t="s">
        <v>1166</v>
      </c>
      <c r="G1385" s="41" t="s">
        <v>28</v>
      </c>
      <c r="H1385" s="42"/>
    </row>
    <row r="1386" spans="2:8" ht="18" customHeight="1" x14ac:dyDescent="0.25">
      <c r="B1386" s="40">
        <f>SUBTOTAL(3,C$4:C1386)</f>
        <v>1333</v>
      </c>
      <c r="C1386" s="41">
        <v>24116767</v>
      </c>
      <c r="D1386" s="41" t="s">
        <v>2352</v>
      </c>
      <c r="E1386" s="41" t="s">
        <v>33</v>
      </c>
      <c r="F1386" s="41" t="s">
        <v>1166</v>
      </c>
      <c r="G1386" s="41" t="s">
        <v>28</v>
      </c>
      <c r="H1386" s="42"/>
    </row>
    <row r="1387" spans="2:8" ht="18" customHeight="1" x14ac:dyDescent="0.25">
      <c r="B1387" s="40">
        <f>SUBTOTAL(3,C$4:C1387)</f>
        <v>1334</v>
      </c>
      <c r="C1387" s="41">
        <v>24331330</v>
      </c>
      <c r="D1387" s="41" t="s">
        <v>2375</v>
      </c>
      <c r="E1387" s="41" t="s">
        <v>33</v>
      </c>
      <c r="F1387" s="41" t="s">
        <v>1166</v>
      </c>
      <c r="G1387" s="41" t="s">
        <v>28</v>
      </c>
      <c r="H1387" s="42"/>
    </row>
    <row r="1388" spans="2:8" ht="18" customHeight="1" x14ac:dyDescent="0.25">
      <c r="B1388" s="40">
        <f>SUBTOTAL(3,C$4:C1388)</f>
        <v>1335</v>
      </c>
      <c r="C1388" s="41">
        <v>24088637</v>
      </c>
      <c r="D1388" s="41" t="s">
        <v>2388</v>
      </c>
      <c r="E1388" s="41" t="s">
        <v>33</v>
      </c>
      <c r="F1388" s="41" t="s">
        <v>1166</v>
      </c>
      <c r="G1388" s="41" t="s">
        <v>28</v>
      </c>
      <c r="H1388" s="42"/>
    </row>
    <row r="1389" spans="2:8" ht="18" customHeight="1" x14ac:dyDescent="0.25">
      <c r="B1389" s="40">
        <f>SUBTOTAL(3,C$4:C1389)</f>
        <v>1336</v>
      </c>
      <c r="C1389" s="41">
        <v>24089401</v>
      </c>
      <c r="D1389" s="41" t="s">
        <v>2402</v>
      </c>
      <c r="E1389" s="41" t="s">
        <v>33</v>
      </c>
      <c r="F1389" s="41" t="s">
        <v>1166</v>
      </c>
      <c r="G1389" s="41" t="s">
        <v>28</v>
      </c>
      <c r="H1389" s="42"/>
    </row>
    <row r="1390" spans="2:8" ht="18" customHeight="1" x14ac:dyDescent="0.25">
      <c r="B1390" s="40">
        <f>SUBTOTAL(3,C$4:C1390)</f>
        <v>1337</v>
      </c>
      <c r="C1390" s="41">
        <v>24320975</v>
      </c>
      <c r="D1390" s="41" t="s">
        <v>2411</v>
      </c>
      <c r="E1390" s="41" t="s">
        <v>33</v>
      </c>
      <c r="F1390" s="41" t="s">
        <v>1166</v>
      </c>
      <c r="G1390" s="41" t="s">
        <v>28</v>
      </c>
      <c r="H1390" s="42"/>
    </row>
    <row r="1391" spans="2:8" ht="18" customHeight="1" x14ac:dyDescent="0.25">
      <c r="B1391" s="40">
        <f>SUBTOTAL(3,C$4:C1391)</f>
        <v>1338</v>
      </c>
      <c r="C1391" s="41">
        <v>24291910</v>
      </c>
      <c r="D1391" s="41" t="s">
        <v>2446</v>
      </c>
      <c r="E1391" s="41" t="s">
        <v>33</v>
      </c>
      <c r="F1391" s="41" t="s">
        <v>1166</v>
      </c>
      <c r="G1391" s="41" t="s">
        <v>28</v>
      </c>
      <c r="H1391" s="42"/>
    </row>
    <row r="1392" spans="2:8" ht="18" customHeight="1" x14ac:dyDescent="0.25">
      <c r="B1392" s="40">
        <f>SUBTOTAL(3,C$4:C1392)</f>
        <v>1339</v>
      </c>
      <c r="C1392" s="41">
        <v>24104612</v>
      </c>
      <c r="D1392" s="41" t="s">
        <v>1236</v>
      </c>
      <c r="E1392" s="41" t="s">
        <v>33</v>
      </c>
      <c r="F1392" s="41" t="s">
        <v>1237</v>
      </c>
      <c r="G1392" s="41" t="s">
        <v>28</v>
      </c>
      <c r="H1392" s="42"/>
    </row>
    <row r="1393" spans="2:8" ht="18" customHeight="1" x14ac:dyDescent="0.25">
      <c r="B1393" s="40">
        <f>SUBTOTAL(3,C$4:C1393)</f>
        <v>1340</v>
      </c>
      <c r="C1393" s="41">
        <v>24104583</v>
      </c>
      <c r="D1393" s="41" t="s">
        <v>1779</v>
      </c>
      <c r="E1393" s="41" t="s">
        <v>33</v>
      </c>
      <c r="F1393" s="41" t="s">
        <v>1112</v>
      </c>
      <c r="G1393" s="41" t="s">
        <v>28</v>
      </c>
      <c r="H1393" s="42"/>
    </row>
    <row r="1394" spans="2:8" ht="18" customHeight="1" x14ac:dyDescent="0.25">
      <c r="B1394" s="40">
        <f>SUBTOTAL(3,C$4:C1394)</f>
        <v>1341</v>
      </c>
      <c r="C1394" s="41">
        <v>24316611</v>
      </c>
      <c r="D1394" s="41" t="s">
        <v>1803</v>
      </c>
      <c r="E1394" s="41" t="s">
        <v>33</v>
      </c>
      <c r="F1394" s="41" t="s">
        <v>1112</v>
      </c>
      <c r="G1394" s="41" t="s">
        <v>28</v>
      </c>
      <c r="H1394" s="42"/>
    </row>
    <row r="1395" spans="2:8" ht="18" customHeight="1" x14ac:dyDescent="0.25">
      <c r="B1395" s="40">
        <f>SUBTOTAL(3,C$4:C1395)</f>
        <v>1342</v>
      </c>
      <c r="C1395" s="41">
        <v>24104798</v>
      </c>
      <c r="D1395" s="41" t="s">
        <v>1808</v>
      </c>
      <c r="E1395" s="41" t="s">
        <v>33</v>
      </c>
      <c r="F1395" s="41" t="s">
        <v>1112</v>
      </c>
      <c r="G1395" s="41" t="s">
        <v>28</v>
      </c>
      <c r="H1395" s="42"/>
    </row>
    <row r="1396" spans="2:8" ht="18" customHeight="1" x14ac:dyDescent="0.25">
      <c r="B1396" s="40">
        <f>SUBTOTAL(3,C$4:C1396)</f>
        <v>1343</v>
      </c>
      <c r="C1396" s="41">
        <v>24117558</v>
      </c>
      <c r="D1396" s="41" t="s">
        <v>1826</v>
      </c>
      <c r="E1396" s="41" t="s">
        <v>33</v>
      </c>
      <c r="F1396" s="41" t="s">
        <v>1112</v>
      </c>
      <c r="G1396" s="41" t="s">
        <v>28</v>
      </c>
      <c r="H1396" s="42"/>
    </row>
    <row r="1397" spans="2:8" ht="18" customHeight="1" x14ac:dyDescent="0.25">
      <c r="B1397" s="40">
        <f>SUBTOTAL(3,C$4:C1397)</f>
        <v>1344</v>
      </c>
      <c r="C1397" s="41">
        <v>2432454</v>
      </c>
      <c r="D1397" s="41" t="s">
        <v>1879</v>
      </c>
      <c r="E1397" s="41" t="s">
        <v>33</v>
      </c>
      <c r="F1397" s="41" t="s">
        <v>1112</v>
      </c>
      <c r="G1397" s="41" t="s">
        <v>28</v>
      </c>
      <c r="H1397" s="42"/>
    </row>
    <row r="1398" spans="2:8" ht="18" customHeight="1" x14ac:dyDescent="0.25">
      <c r="B1398" s="40">
        <f>SUBTOTAL(3,C$4:C1398)</f>
        <v>1345</v>
      </c>
      <c r="C1398" s="41">
        <v>24110481</v>
      </c>
      <c r="D1398" s="41" t="s">
        <v>1960</v>
      </c>
      <c r="E1398" s="41" t="s">
        <v>33</v>
      </c>
      <c r="F1398" s="41" t="s">
        <v>1112</v>
      </c>
      <c r="G1398" s="41" t="s">
        <v>28</v>
      </c>
      <c r="H1398" s="42"/>
    </row>
    <row r="1399" spans="2:8" ht="18" customHeight="1" x14ac:dyDescent="0.25">
      <c r="B1399" s="40">
        <f>SUBTOTAL(3,C$4:C1399)</f>
        <v>1346</v>
      </c>
      <c r="C1399" s="41">
        <v>24114612</v>
      </c>
      <c r="D1399" s="41" t="s">
        <v>1967</v>
      </c>
      <c r="E1399" s="41" t="s">
        <v>33</v>
      </c>
      <c r="F1399" s="41" t="s">
        <v>1112</v>
      </c>
      <c r="G1399" s="41" t="s">
        <v>28</v>
      </c>
      <c r="H1399" s="42"/>
    </row>
    <row r="1400" spans="2:8" ht="18" customHeight="1" x14ac:dyDescent="0.25">
      <c r="B1400" s="40">
        <f>SUBTOTAL(3,C$4:C1400)</f>
        <v>1347</v>
      </c>
      <c r="C1400" s="41">
        <v>24310957</v>
      </c>
      <c r="D1400" s="41" t="s">
        <v>2017</v>
      </c>
      <c r="E1400" s="41" t="s">
        <v>33</v>
      </c>
      <c r="F1400" s="41" t="s">
        <v>1112</v>
      </c>
      <c r="G1400" s="41" t="s">
        <v>28</v>
      </c>
      <c r="H1400" s="42"/>
    </row>
    <row r="1401" spans="2:8" ht="18" customHeight="1" x14ac:dyDescent="0.25">
      <c r="B1401" s="40">
        <f>SUBTOTAL(3,C$4:C1401)</f>
        <v>1348</v>
      </c>
      <c r="C1401" s="41">
        <v>24103076</v>
      </c>
      <c r="D1401" s="41" t="s">
        <v>2048</v>
      </c>
      <c r="E1401" s="41" t="s">
        <v>33</v>
      </c>
      <c r="F1401" s="41" t="s">
        <v>1112</v>
      </c>
      <c r="G1401" s="41" t="s">
        <v>28</v>
      </c>
      <c r="H1401" s="42"/>
    </row>
    <row r="1402" spans="2:8" ht="18" customHeight="1" x14ac:dyDescent="0.25">
      <c r="B1402" s="40">
        <f>SUBTOTAL(3,C$4:C1402)</f>
        <v>1349</v>
      </c>
      <c r="C1402" s="41">
        <v>24090393</v>
      </c>
      <c r="D1402" s="41" t="s">
        <v>2075</v>
      </c>
      <c r="E1402" s="41" t="s">
        <v>33</v>
      </c>
      <c r="F1402" s="41" t="s">
        <v>1112</v>
      </c>
      <c r="G1402" s="41" t="s">
        <v>28</v>
      </c>
      <c r="H1402" s="42"/>
    </row>
    <row r="1403" spans="2:8" ht="18" customHeight="1" x14ac:dyDescent="0.25">
      <c r="B1403" s="40">
        <f>SUBTOTAL(3,C$4:C1403)</f>
        <v>1350</v>
      </c>
      <c r="C1403" s="41">
        <v>24029625</v>
      </c>
      <c r="D1403" s="41" t="s">
        <v>2102</v>
      </c>
      <c r="E1403" s="41" t="s">
        <v>33</v>
      </c>
      <c r="F1403" s="41" t="s">
        <v>1112</v>
      </c>
      <c r="G1403" s="41" t="s">
        <v>28</v>
      </c>
      <c r="H1403" s="42"/>
    </row>
    <row r="1404" spans="2:8" ht="18" customHeight="1" x14ac:dyDescent="0.25">
      <c r="B1404" s="40">
        <f>SUBTOTAL(3,C$4:C1404)</f>
        <v>1351</v>
      </c>
      <c r="C1404" s="41">
        <v>24115870</v>
      </c>
      <c r="D1404" s="41" t="s">
        <v>1111</v>
      </c>
      <c r="E1404" s="41" t="s">
        <v>33</v>
      </c>
      <c r="F1404" s="41" t="s">
        <v>1112</v>
      </c>
      <c r="G1404" s="41" t="s">
        <v>28</v>
      </c>
      <c r="H1404" s="42"/>
    </row>
    <row r="1405" spans="2:8" ht="18" customHeight="1" x14ac:dyDescent="0.25">
      <c r="B1405" s="40">
        <f>SUBTOTAL(3,C$4:C1405)</f>
        <v>1352</v>
      </c>
      <c r="C1405" s="41">
        <v>24089369</v>
      </c>
      <c r="D1405" s="41" t="s">
        <v>1159</v>
      </c>
      <c r="E1405" s="41" t="s">
        <v>33</v>
      </c>
      <c r="F1405" s="41" t="s">
        <v>1112</v>
      </c>
      <c r="G1405" s="41" t="s">
        <v>28</v>
      </c>
      <c r="H1405" s="42"/>
    </row>
    <row r="1406" spans="2:8" ht="18" customHeight="1" x14ac:dyDescent="0.25">
      <c r="B1406" s="40">
        <f>SUBTOTAL(3,C$4:C1406)</f>
        <v>1353</v>
      </c>
      <c r="C1406" s="41">
        <v>24090119</v>
      </c>
      <c r="D1406" s="41" t="s">
        <v>1181</v>
      </c>
      <c r="E1406" s="41" t="s">
        <v>33</v>
      </c>
      <c r="F1406" s="41" t="s">
        <v>1112</v>
      </c>
      <c r="G1406" s="41" t="s">
        <v>28</v>
      </c>
      <c r="H1406" s="42"/>
    </row>
    <row r="1407" spans="2:8" ht="18" customHeight="1" x14ac:dyDescent="0.25">
      <c r="B1407" s="40">
        <f>SUBTOTAL(3,C$4:C1407)</f>
        <v>1354</v>
      </c>
      <c r="C1407" s="41">
        <v>24301012</v>
      </c>
      <c r="D1407" s="41" t="s">
        <v>1215</v>
      </c>
      <c r="E1407" s="41" t="s">
        <v>33</v>
      </c>
      <c r="F1407" s="41" t="s">
        <v>1112</v>
      </c>
      <c r="G1407" s="41" t="s">
        <v>28</v>
      </c>
      <c r="H1407" s="42"/>
    </row>
    <row r="1408" spans="2:8" ht="18" customHeight="1" x14ac:dyDescent="0.25">
      <c r="B1408" s="40">
        <f>SUBTOTAL(3,C$4:C1408)</f>
        <v>1355</v>
      </c>
      <c r="C1408" s="41">
        <v>24035074</v>
      </c>
      <c r="D1408" s="41" t="s">
        <v>2118</v>
      </c>
      <c r="E1408" s="41" t="s">
        <v>33</v>
      </c>
      <c r="F1408" s="41" t="s">
        <v>1112</v>
      </c>
      <c r="G1408" s="41" t="s">
        <v>28</v>
      </c>
      <c r="H1408" s="42"/>
    </row>
    <row r="1409" spans="2:8" ht="18" customHeight="1" x14ac:dyDescent="0.25">
      <c r="B1409" s="40">
        <f>SUBTOTAL(3,C$4:C1409)</f>
        <v>1356</v>
      </c>
      <c r="C1409" s="41">
        <v>24115437</v>
      </c>
      <c r="D1409" s="41" t="s">
        <v>2128</v>
      </c>
      <c r="E1409" s="41" t="s">
        <v>33</v>
      </c>
      <c r="F1409" s="41" t="s">
        <v>1112</v>
      </c>
      <c r="G1409" s="41" t="s">
        <v>28</v>
      </c>
      <c r="H1409" s="42"/>
    </row>
    <row r="1410" spans="2:8" ht="18" customHeight="1" x14ac:dyDescent="0.25">
      <c r="B1410" s="40">
        <f>SUBTOTAL(3,C$4:C1410)</f>
        <v>1357</v>
      </c>
      <c r="C1410" s="41">
        <v>24331467</v>
      </c>
      <c r="D1410" s="41" t="s">
        <v>2129</v>
      </c>
      <c r="E1410" s="41" t="s">
        <v>33</v>
      </c>
      <c r="F1410" s="41" t="s">
        <v>1112</v>
      </c>
      <c r="G1410" s="41" t="s">
        <v>28</v>
      </c>
      <c r="H1410" s="42"/>
    </row>
    <row r="1411" spans="2:8" ht="18" customHeight="1" x14ac:dyDescent="0.25">
      <c r="B1411" s="40">
        <f>SUBTOTAL(3,C$4:C1411)</f>
        <v>1358</v>
      </c>
      <c r="C1411" s="41">
        <v>24104634</v>
      </c>
      <c r="D1411" s="41" t="s">
        <v>2137</v>
      </c>
      <c r="E1411" s="41" t="s">
        <v>33</v>
      </c>
      <c r="F1411" s="41" t="s">
        <v>1112</v>
      </c>
      <c r="G1411" s="41" t="s">
        <v>28</v>
      </c>
      <c r="H1411" s="42"/>
    </row>
    <row r="1412" spans="2:8" ht="18" customHeight="1" x14ac:dyDescent="0.25">
      <c r="B1412" s="40">
        <f>SUBTOTAL(3,C$4:C1412)</f>
        <v>1359</v>
      </c>
      <c r="C1412" s="41">
        <v>24310979</v>
      </c>
      <c r="D1412" s="41" t="s">
        <v>2143</v>
      </c>
      <c r="E1412" s="41" t="s">
        <v>33</v>
      </c>
      <c r="F1412" s="41" t="s">
        <v>1112</v>
      </c>
      <c r="G1412" s="41" t="s">
        <v>28</v>
      </c>
      <c r="H1412" s="42"/>
    </row>
    <row r="1413" spans="2:8" ht="18" customHeight="1" x14ac:dyDescent="0.25">
      <c r="B1413" s="40">
        <f>SUBTOTAL(3,C$4:C1413)</f>
        <v>1360</v>
      </c>
      <c r="C1413" s="41">
        <v>24270741</v>
      </c>
      <c r="D1413" s="41" t="s">
        <v>2246</v>
      </c>
      <c r="E1413" s="41" t="s">
        <v>33</v>
      </c>
      <c r="F1413" s="41" t="s">
        <v>1112</v>
      </c>
      <c r="G1413" s="41" t="s">
        <v>28</v>
      </c>
      <c r="H1413" s="42"/>
    </row>
    <row r="1414" spans="2:8" ht="18" customHeight="1" x14ac:dyDescent="0.25">
      <c r="B1414" s="40">
        <f>SUBTOTAL(3,C$4:C1414)</f>
        <v>1361</v>
      </c>
      <c r="C1414" s="41">
        <v>24255985</v>
      </c>
      <c r="D1414" s="41" t="s">
        <v>2326</v>
      </c>
      <c r="E1414" s="41" t="s">
        <v>33</v>
      </c>
      <c r="F1414" s="41" t="s">
        <v>1112</v>
      </c>
      <c r="G1414" s="41" t="s">
        <v>28</v>
      </c>
      <c r="H1414" s="42"/>
    </row>
    <row r="1415" spans="2:8" ht="18" customHeight="1" x14ac:dyDescent="0.25">
      <c r="B1415" s="40">
        <f>SUBTOTAL(3,C$4:C1415)</f>
        <v>1362</v>
      </c>
      <c r="C1415" s="41">
        <v>24110542</v>
      </c>
      <c r="D1415" s="41" t="s">
        <v>2340</v>
      </c>
      <c r="E1415" s="41" t="s">
        <v>33</v>
      </c>
      <c r="F1415" s="41" t="s">
        <v>1112</v>
      </c>
      <c r="G1415" s="41" t="s">
        <v>28</v>
      </c>
      <c r="H1415" s="42"/>
    </row>
    <row r="1416" spans="2:8" ht="18" customHeight="1" x14ac:dyDescent="0.25">
      <c r="B1416" s="40">
        <f>SUBTOTAL(3,C$4:C1416)</f>
        <v>1363</v>
      </c>
      <c r="C1416" s="41">
        <v>24109940</v>
      </c>
      <c r="D1416" s="41" t="s">
        <v>2357</v>
      </c>
      <c r="E1416" s="41" t="s">
        <v>33</v>
      </c>
      <c r="F1416" s="41" t="s">
        <v>1112</v>
      </c>
      <c r="G1416" s="41" t="s">
        <v>28</v>
      </c>
      <c r="H1416" s="42"/>
    </row>
    <row r="1417" spans="2:8" ht="18" customHeight="1" x14ac:dyDescent="0.25">
      <c r="B1417" s="40">
        <f>SUBTOTAL(3,C$4:C1417)</f>
        <v>1364</v>
      </c>
      <c r="C1417" s="41">
        <v>24251013</v>
      </c>
      <c r="D1417" s="41" t="s">
        <v>2443</v>
      </c>
      <c r="E1417" s="41" t="s">
        <v>33</v>
      </c>
      <c r="F1417" s="41" t="s">
        <v>1112</v>
      </c>
      <c r="G1417" s="41" t="s">
        <v>28</v>
      </c>
      <c r="H1417" s="42"/>
    </row>
    <row r="1418" spans="2:8" ht="18" customHeight="1" x14ac:dyDescent="0.25">
      <c r="B1418" s="40">
        <f>SUBTOTAL(3,C$4:C1418)</f>
        <v>1365</v>
      </c>
      <c r="C1418" s="41">
        <v>24115336</v>
      </c>
      <c r="D1418" s="41" t="s">
        <v>2447</v>
      </c>
      <c r="E1418" s="41" t="s">
        <v>33</v>
      </c>
      <c r="F1418" s="41" t="s">
        <v>1112</v>
      </c>
      <c r="G1418" s="41" t="s">
        <v>28</v>
      </c>
      <c r="H1418" s="42"/>
    </row>
    <row r="1419" spans="2:8" ht="18" customHeight="1" x14ac:dyDescent="0.25">
      <c r="B1419" s="40">
        <f>SUBTOTAL(3,C$4:C1419)</f>
        <v>1366</v>
      </c>
      <c r="C1419" s="41">
        <v>24096582</v>
      </c>
      <c r="D1419" s="41" t="s">
        <v>1824</v>
      </c>
      <c r="E1419" s="41" t="s">
        <v>33</v>
      </c>
      <c r="F1419" s="41" t="s">
        <v>1825</v>
      </c>
      <c r="G1419" s="41" t="s">
        <v>28</v>
      </c>
      <c r="H1419" s="42"/>
    </row>
    <row r="1420" spans="2:8" ht="18" customHeight="1" x14ac:dyDescent="0.25">
      <c r="B1420" s="40">
        <f>SUBTOTAL(3,C$4:C1420)</f>
        <v>1367</v>
      </c>
      <c r="C1420" s="41">
        <v>24250448</v>
      </c>
      <c r="D1420" s="41" t="s">
        <v>1773</v>
      </c>
      <c r="E1420" s="41" t="s">
        <v>33</v>
      </c>
      <c r="F1420" s="41" t="s">
        <v>1157</v>
      </c>
      <c r="G1420" s="41" t="s">
        <v>28</v>
      </c>
      <c r="H1420" s="42"/>
    </row>
    <row r="1421" spans="2:8" ht="18" customHeight="1" x14ac:dyDescent="0.25">
      <c r="B1421" s="40">
        <f>SUBTOTAL(3,C$4:C1421)</f>
        <v>1368</v>
      </c>
      <c r="C1421" s="41">
        <v>24243015</v>
      </c>
      <c r="D1421" s="41" t="s">
        <v>1821</v>
      </c>
      <c r="E1421" s="41" t="s">
        <v>33</v>
      </c>
      <c r="F1421" s="41" t="s">
        <v>1157</v>
      </c>
      <c r="G1421" s="41" t="s">
        <v>28</v>
      </c>
      <c r="H1421" s="42"/>
    </row>
    <row r="1422" spans="2:8" ht="18" customHeight="1" x14ac:dyDescent="0.25">
      <c r="B1422" s="40">
        <f>SUBTOTAL(3,C$4:C1422)</f>
        <v>1369</v>
      </c>
      <c r="C1422" s="41">
        <v>24100923</v>
      </c>
      <c r="D1422" s="41" t="s">
        <v>1820</v>
      </c>
      <c r="E1422" s="41" t="s">
        <v>33</v>
      </c>
      <c r="F1422" s="41" t="s">
        <v>1157</v>
      </c>
      <c r="G1422" s="41" t="s">
        <v>28</v>
      </c>
      <c r="H1422" s="42"/>
    </row>
    <row r="1423" spans="2:8" ht="18" customHeight="1" x14ac:dyDescent="0.25">
      <c r="B1423" s="40">
        <f>SUBTOTAL(3,C$4:C1423)</f>
        <v>1370</v>
      </c>
      <c r="C1423" s="41">
        <v>24088870</v>
      </c>
      <c r="D1423" s="41" t="s">
        <v>1828</v>
      </c>
      <c r="E1423" s="41" t="s">
        <v>33</v>
      </c>
      <c r="F1423" s="41" t="s">
        <v>1157</v>
      </c>
      <c r="G1423" s="41" t="s">
        <v>28</v>
      </c>
      <c r="H1423" s="42"/>
    </row>
    <row r="1424" spans="2:8" ht="18" customHeight="1" x14ac:dyDescent="0.25">
      <c r="B1424" s="40">
        <f>SUBTOTAL(3,C$4:C1424)</f>
        <v>1371</v>
      </c>
      <c r="C1424" s="41">
        <v>24243052</v>
      </c>
      <c r="D1424" s="41" t="s">
        <v>1849</v>
      </c>
      <c r="E1424" s="41" t="s">
        <v>33</v>
      </c>
      <c r="F1424" s="41" t="s">
        <v>1157</v>
      </c>
      <c r="G1424" s="41" t="s">
        <v>28</v>
      </c>
      <c r="H1424" s="42"/>
    </row>
    <row r="1425" spans="2:8" ht="18" customHeight="1" x14ac:dyDescent="0.25">
      <c r="B1425" s="40">
        <f>SUBTOTAL(3,C$4:C1425)</f>
        <v>1372</v>
      </c>
      <c r="C1425" s="41">
        <v>24114183</v>
      </c>
      <c r="D1425" s="41" t="s">
        <v>1907</v>
      </c>
      <c r="E1425" s="41" t="s">
        <v>33</v>
      </c>
      <c r="F1425" s="41" t="s">
        <v>1157</v>
      </c>
      <c r="G1425" s="41" t="s">
        <v>28</v>
      </c>
      <c r="H1425" s="42"/>
    </row>
    <row r="1426" spans="2:8" ht="18" customHeight="1" x14ac:dyDescent="0.25">
      <c r="B1426" s="40">
        <f>SUBTOTAL(3,C$4:C1426)</f>
        <v>1373</v>
      </c>
      <c r="C1426" s="41">
        <v>24110511</v>
      </c>
      <c r="D1426" s="41" t="s">
        <v>1965</v>
      </c>
      <c r="E1426" s="41" t="s">
        <v>33</v>
      </c>
      <c r="F1426" s="41" t="s">
        <v>1157</v>
      </c>
      <c r="G1426" s="41" t="s">
        <v>28</v>
      </c>
      <c r="H1426" s="42"/>
    </row>
    <row r="1427" spans="2:8" ht="18" customHeight="1" x14ac:dyDescent="0.25">
      <c r="B1427" s="40">
        <f>SUBTOTAL(3,C$4:C1427)</f>
        <v>1374</v>
      </c>
      <c r="C1427" s="41">
        <v>24034992</v>
      </c>
      <c r="D1427" s="41" t="s">
        <v>2031</v>
      </c>
      <c r="E1427" s="41" t="s">
        <v>33</v>
      </c>
      <c r="F1427" s="41" t="s">
        <v>1157</v>
      </c>
      <c r="G1427" s="41" t="s">
        <v>28</v>
      </c>
      <c r="H1427" s="42"/>
    </row>
    <row r="1428" spans="2:8" ht="18" customHeight="1" x14ac:dyDescent="0.25">
      <c r="B1428" s="40">
        <f>SUBTOTAL(3,C$4:C1428)</f>
        <v>1375</v>
      </c>
      <c r="C1428" s="41">
        <v>24315727</v>
      </c>
      <c r="D1428" s="41" t="s">
        <v>2040</v>
      </c>
      <c r="E1428" s="41" t="s">
        <v>33</v>
      </c>
      <c r="F1428" s="41" t="s">
        <v>1157</v>
      </c>
      <c r="G1428" s="41" t="s">
        <v>28</v>
      </c>
      <c r="H1428" s="42"/>
    </row>
    <row r="1429" spans="2:8" ht="18" customHeight="1" x14ac:dyDescent="0.25">
      <c r="B1429" s="40">
        <f>SUBTOTAL(3,C$4:C1429)</f>
        <v>1376</v>
      </c>
      <c r="C1429" s="41">
        <v>24270687</v>
      </c>
      <c r="D1429" s="41" t="s">
        <v>2084</v>
      </c>
      <c r="E1429" s="41" t="s">
        <v>33</v>
      </c>
      <c r="F1429" s="41" t="s">
        <v>1157</v>
      </c>
      <c r="G1429" s="41" t="s">
        <v>28</v>
      </c>
      <c r="H1429" s="42"/>
    </row>
    <row r="1430" spans="2:8" ht="18" customHeight="1" x14ac:dyDescent="0.25">
      <c r="B1430" s="40">
        <f>SUBTOTAL(3,C$4:C1430)</f>
        <v>1377</v>
      </c>
      <c r="C1430" s="41">
        <v>24089325</v>
      </c>
      <c r="D1430" s="41" t="s">
        <v>1156</v>
      </c>
      <c r="E1430" s="41" t="s">
        <v>33</v>
      </c>
      <c r="F1430" s="41" t="s">
        <v>1157</v>
      </c>
      <c r="G1430" s="41" t="s">
        <v>28</v>
      </c>
      <c r="H1430" s="42"/>
    </row>
    <row r="1431" spans="2:8" ht="18" customHeight="1" x14ac:dyDescent="0.25">
      <c r="B1431" s="40">
        <f>SUBTOTAL(3,C$4:C1431)</f>
        <v>1378</v>
      </c>
      <c r="C1431" s="41">
        <v>24107152</v>
      </c>
      <c r="D1431" s="41" t="s">
        <v>1249</v>
      </c>
      <c r="E1431" s="41" t="s">
        <v>33</v>
      </c>
      <c r="F1431" s="41" t="s">
        <v>1157</v>
      </c>
      <c r="G1431" s="41" t="s">
        <v>28</v>
      </c>
      <c r="H1431" s="42"/>
    </row>
    <row r="1432" spans="2:8" ht="18" customHeight="1" x14ac:dyDescent="0.25">
      <c r="B1432" s="40">
        <f>SUBTOTAL(3,C$4:C1432)</f>
        <v>1379</v>
      </c>
      <c r="C1432" s="41">
        <v>24110927</v>
      </c>
      <c r="D1432" s="41" t="s">
        <v>1250</v>
      </c>
      <c r="E1432" s="41" t="s">
        <v>33</v>
      </c>
      <c r="F1432" s="41" t="s">
        <v>1157</v>
      </c>
      <c r="G1432" s="41" t="s">
        <v>28</v>
      </c>
      <c r="H1432" s="42"/>
    </row>
    <row r="1433" spans="2:8" ht="18" customHeight="1" x14ac:dyDescent="0.25">
      <c r="B1433" s="40">
        <f>SUBTOTAL(3,C$4:C1433)</f>
        <v>1380</v>
      </c>
      <c r="C1433" s="41">
        <v>24103557</v>
      </c>
      <c r="D1433" s="41" t="s">
        <v>2131</v>
      </c>
      <c r="E1433" s="41" t="s">
        <v>33</v>
      </c>
      <c r="F1433" s="41" t="s">
        <v>1157</v>
      </c>
      <c r="G1433" s="41" t="s">
        <v>28</v>
      </c>
      <c r="H1433" s="42"/>
    </row>
    <row r="1434" spans="2:8" ht="18" customHeight="1" x14ac:dyDescent="0.25">
      <c r="B1434" s="40">
        <f>SUBTOTAL(3,C$4:C1434)</f>
        <v>1381</v>
      </c>
      <c r="C1434" s="41">
        <v>24331616</v>
      </c>
      <c r="D1434" s="41" t="s">
        <v>2194</v>
      </c>
      <c r="E1434" s="41" t="s">
        <v>33</v>
      </c>
      <c r="F1434" s="41" t="s">
        <v>1157</v>
      </c>
      <c r="G1434" s="41" t="s">
        <v>28</v>
      </c>
      <c r="H1434" s="42"/>
    </row>
    <row r="1435" spans="2:8" ht="18" customHeight="1" x14ac:dyDescent="0.25">
      <c r="B1435" s="40">
        <f>SUBTOTAL(3,C$4:C1435)</f>
        <v>1382</v>
      </c>
      <c r="C1435" s="41">
        <v>24116675</v>
      </c>
      <c r="D1435" s="41" t="s">
        <v>2236</v>
      </c>
      <c r="E1435" s="41" t="s">
        <v>33</v>
      </c>
      <c r="F1435" s="41" t="s">
        <v>1157</v>
      </c>
      <c r="G1435" s="41" t="s">
        <v>28</v>
      </c>
      <c r="H1435" s="42"/>
    </row>
    <row r="1436" spans="2:8" ht="18" customHeight="1" x14ac:dyDescent="0.25">
      <c r="B1436" s="40">
        <f>SUBTOTAL(3,C$4:C1436)</f>
        <v>1383</v>
      </c>
      <c r="C1436" s="41">
        <v>24102228</v>
      </c>
      <c r="D1436" s="41" t="s">
        <v>1364</v>
      </c>
      <c r="E1436" s="41" t="s">
        <v>33</v>
      </c>
      <c r="F1436" s="41" t="s">
        <v>1157</v>
      </c>
      <c r="G1436" s="41" t="s">
        <v>28</v>
      </c>
      <c r="H1436" s="42"/>
    </row>
    <row r="1437" spans="2:8" ht="18" customHeight="1" x14ac:dyDescent="0.25">
      <c r="B1437" s="40">
        <f>SUBTOTAL(3,C$4:C1437)</f>
        <v>1384</v>
      </c>
      <c r="C1437" s="41">
        <v>24089644</v>
      </c>
      <c r="D1437" s="41" t="s">
        <v>2325</v>
      </c>
      <c r="E1437" s="41" t="s">
        <v>33</v>
      </c>
      <c r="F1437" s="41" t="s">
        <v>1157</v>
      </c>
      <c r="G1437" s="41" t="s">
        <v>28</v>
      </c>
      <c r="H1437" s="42"/>
    </row>
    <row r="1438" spans="2:8" ht="18" customHeight="1" x14ac:dyDescent="0.25">
      <c r="B1438" s="40">
        <f>SUBTOTAL(3,C$4:C1438)</f>
        <v>1385</v>
      </c>
      <c r="C1438" s="41">
        <v>24105399</v>
      </c>
      <c r="D1438" s="41" t="s">
        <v>2330</v>
      </c>
      <c r="E1438" s="41" t="s">
        <v>33</v>
      </c>
      <c r="F1438" s="41" t="s">
        <v>1157</v>
      </c>
      <c r="G1438" s="41" t="s">
        <v>28</v>
      </c>
      <c r="H1438" s="42"/>
    </row>
    <row r="1439" spans="2:8" ht="18" customHeight="1" x14ac:dyDescent="0.25">
      <c r="B1439" s="40">
        <f>SUBTOTAL(3,C$4:C1439)</f>
        <v>1386</v>
      </c>
      <c r="C1439" s="41">
        <v>24256016</v>
      </c>
      <c r="D1439" s="41" t="s">
        <v>2353</v>
      </c>
      <c r="E1439" s="41" t="s">
        <v>33</v>
      </c>
      <c r="F1439" s="41" t="s">
        <v>1157</v>
      </c>
      <c r="G1439" s="41" t="s">
        <v>28</v>
      </c>
      <c r="H1439" s="42"/>
    </row>
    <row r="1440" spans="2:8" ht="18" customHeight="1" x14ac:dyDescent="0.25">
      <c r="B1440" s="40">
        <f>SUBTOTAL(3,C$4:C1440)</f>
        <v>1387</v>
      </c>
      <c r="C1440" s="41">
        <v>24103062</v>
      </c>
      <c r="D1440" s="41" t="s">
        <v>2354</v>
      </c>
      <c r="E1440" s="41" t="s">
        <v>33</v>
      </c>
      <c r="F1440" s="41" t="s">
        <v>1157</v>
      </c>
      <c r="G1440" s="41" t="s">
        <v>28</v>
      </c>
      <c r="H1440" s="42"/>
    </row>
    <row r="1441" spans="2:8" ht="18" customHeight="1" x14ac:dyDescent="0.25">
      <c r="B1441" s="40">
        <f>SUBTOTAL(3,C$4:C1441)</f>
        <v>1388</v>
      </c>
      <c r="C1441" s="41">
        <v>24090302</v>
      </c>
      <c r="D1441" s="41" t="s">
        <v>2380</v>
      </c>
      <c r="E1441" s="41" t="s">
        <v>33</v>
      </c>
      <c r="F1441" s="41" t="s">
        <v>1157</v>
      </c>
      <c r="G1441" s="41" t="s">
        <v>28</v>
      </c>
      <c r="H1441" s="42"/>
    </row>
    <row r="1442" spans="2:8" ht="18" customHeight="1" x14ac:dyDescent="0.25">
      <c r="B1442" s="40">
        <f>SUBTOTAL(3,C$4:C1442)</f>
        <v>1389</v>
      </c>
      <c r="C1442" s="41">
        <v>24031949</v>
      </c>
      <c r="D1442" s="41" t="s">
        <v>2398</v>
      </c>
      <c r="E1442" s="41" t="s">
        <v>33</v>
      </c>
      <c r="F1442" s="41" t="s">
        <v>1157</v>
      </c>
      <c r="G1442" s="41" t="s">
        <v>28</v>
      </c>
      <c r="H1442" s="42"/>
    </row>
    <row r="1443" spans="2:8" ht="18" customHeight="1" x14ac:dyDescent="0.25">
      <c r="B1443" s="40">
        <f>SUBTOTAL(3,C$4:C1443)</f>
        <v>1390</v>
      </c>
      <c r="C1443" s="41">
        <v>24098266</v>
      </c>
      <c r="D1443" s="41" t="s">
        <v>2286</v>
      </c>
      <c r="E1443" s="41" t="s">
        <v>33</v>
      </c>
      <c r="F1443" s="41" t="s">
        <v>2287</v>
      </c>
      <c r="G1443" s="41" t="s">
        <v>28</v>
      </c>
      <c r="H1443" s="42"/>
    </row>
    <row r="1444" spans="2:8" ht="18" customHeight="1" x14ac:dyDescent="0.25">
      <c r="B1444" s="40">
        <f>SUBTOTAL(3,C$4:C1444)</f>
        <v>1391</v>
      </c>
      <c r="C1444" s="41">
        <v>24089830</v>
      </c>
      <c r="D1444" s="41" t="s">
        <v>1891</v>
      </c>
      <c r="E1444" s="41" t="s">
        <v>33</v>
      </c>
      <c r="F1444" s="41" t="s">
        <v>1132</v>
      </c>
      <c r="G1444" s="41" t="s">
        <v>28</v>
      </c>
      <c r="H1444" s="42"/>
    </row>
    <row r="1445" spans="2:8" ht="18" customHeight="1" x14ac:dyDescent="0.25">
      <c r="B1445" s="40">
        <f>SUBTOTAL(3,C$4:C1445)</f>
        <v>1392</v>
      </c>
      <c r="C1445" s="41">
        <v>24315698</v>
      </c>
      <c r="D1445" s="41" t="s">
        <v>1909</v>
      </c>
      <c r="E1445" s="41" t="s">
        <v>33</v>
      </c>
      <c r="F1445" s="41" t="s">
        <v>1132</v>
      </c>
      <c r="G1445" s="41" t="s">
        <v>28</v>
      </c>
      <c r="H1445" s="42"/>
    </row>
    <row r="1446" spans="2:8" ht="18" customHeight="1" x14ac:dyDescent="0.25">
      <c r="B1446" s="40">
        <f>SUBTOTAL(3,C$4:C1446)</f>
        <v>1393</v>
      </c>
      <c r="C1446" s="41">
        <v>24115456</v>
      </c>
      <c r="D1446" s="41" t="s">
        <v>1957</v>
      </c>
      <c r="E1446" s="41" t="s">
        <v>33</v>
      </c>
      <c r="F1446" s="41" t="s">
        <v>1132</v>
      </c>
      <c r="G1446" s="41" t="s">
        <v>28</v>
      </c>
      <c r="H1446" s="42"/>
    </row>
    <row r="1447" spans="2:8" ht="18" customHeight="1" x14ac:dyDescent="0.25">
      <c r="B1447" s="40">
        <f>SUBTOTAL(3,C$4:C1447)</f>
        <v>1394</v>
      </c>
      <c r="C1447" s="41">
        <v>24331297</v>
      </c>
      <c r="D1447" s="41" t="s">
        <v>1994</v>
      </c>
      <c r="E1447" s="41" t="s">
        <v>33</v>
      </c>
      <c r="F1447" s="41" t="s">
        <v>1132</v>
      </c>
      <c r="G1447" s="41" t="s">
        <v>28</v>
      </c>
      <c r="H1447" s="42"/>
    </row>
    <row r="1448" spans="2:8" ht="18" customHeight="1" x14ac:dyDescent="0.25">
      <c r="B1448" s="40">
        <f>SUBTOTAL(3,C$4:C1448)</f>
        <v>1395</v>
      </c>
      <c r="C1448" s="41">
        <v>24270702</v>
      </c>
      <c r="D1448" s="41" t="s">
        <v>2051</v>
      </c>
      <c r="E1448" s="41" t="s">
        <v>33</v>
      </c>
      <c r="F1448" s="41" t="s">
        <v>1132</v>
      </c>
      <c r="G1448" s="41" t="s">
        <v>28</v>
      </c>
      <c r="H1448" s="42"/>
    </row>
    <row r="1449" spans="2:8" ht="18" customHeight="1" x14ac:dyDescent="0.25">
      <c r="B1449" s="40">
        <f>SUBTOTAL(3,C$4:C1449)</f>
        <v>1396</v>
      </c>
      <c r="C1449" s="41">
        <v>24088384</v>
      </c>
      <c r="D1449" s="41" t="s">
        <v>1131</v>
      </c>
      <c r="E1449" s="41" t="s">
        <v>33</v>
      </c>
      <c r="F1449" s="41" t="s">
        <v>1132</v>
      </c>
      <c r="G1449" s="41" t="s">
        <v>28</v>
      </c>
      <c r="H1449" s="42"/>
    </row>
    <row r="1450" spans="2:8" ht="18" customHeight="1" x14ac:dyDescent="0.25">
      <c r="B1450" s="40">
        <f>SUBTOTAL(3,C$4:C1450)</f>
        <v>1397</v>
      </c>
      <c r="C1450" s="41">
        <v>24216281</v>
      </c>
      <c r="D1450" s="41" t="s">
        <v>1182</v>
      </c>
      <c r="E1450" s="41" t="s">
        <v>33</v>
      </c>
      <c r="F1450" s="41" t="s">
        <v>1132</v>
      </c>
      <c r="G1450" s="41" t="s">
        <v>28</v>
      </c>
      <c r="H1450" s="42"/>
    </row>
    <row r="1451" spans="2:8" ht="18" customHeight="1" x14ac:dyDescent="0.25">
      <c r="B1451" s="40">
        <f>SUBTOTAL(3,C$4:C1451)</f>
        <v>1398</v>
      </c>
      <c r="C1451" s="41">
        <v>24111901</v>
      </c>
      <c r="D1451" s="41" t="s">
        <v>2116</v>
      </c>
      <c r="E1451" s="41" t="s">
        <v>33</v>
      </c>
      <c r="F1451" s="41" t="s">
        <v>1132</v>
      </c>
      <c r="G1451" s="41" t="s">
        <v>28</v>
      </c>
      <c r="H1451" s="42"/>
    </row>
    <row r="1452" spans="2:8" ht="18" customHeight="1" x14ac:dyDescent="0.25">
      <c r="B1452" s="40">
        <f>SUBTOTAL(3,C$4:C1452)</f>
        <v>1399</v>
      </c>
      <c r="C1452" s="41">
        <v>24031044</v>
      </c>
      <c r="D1452" s="41" t="s">
        <v>2140</v>
      </c>
      <c r="E1452" s="41" t="s">
        <v>33</v>
      </c>
      <c r="F1452" s="41" t="s">
        <v>1132</v>
      </c>
      <c r="G1452" s="41" t="s">
        <v>28</v>
      </c>
      <c r="H1452" s="42"/>
    </row>
    <row r="1453" spans="2:8" ht="18" customHeight="1" x14ac:dyDescent="0.25">
      <c r="B1453" s="40">
        <f>SUBTOTAL(3,C$4:C1453)</f>
        <v>1400</v>
      </c>
      <c r="C1453" s="41">
        <v>24089882</v>
      </c>
      <c r="D1453" s="41" t="s">
        <v>2188</v>
      </c>
      <c r="E1453" s="41" t="s">
        <v>33</v>
      </c>
      <c r="F1453" s="41" t="s">
        <v>1132</v>
      </c>
      <c r="G1453" s="41" t="s">
        <v>28</v>
      </c>
      <c r="H1453" s="42"/>
    </row>
    <row r="1454" spans="2:8" ht="18" customHeight="1" x14ac:dyDescent="0.25">
      <c r="B1454" s="40">
        <f>SUBTOTAL(3,C$4:C1454)</f>
        <v>1401</v>
      </c>
      <c r="C1454" s="41">
        <v>24115543</v>
      </c>
      <c r="D1454" s="41" t="s">
        <v>2213</v>
      </c>
      <c r="E1454" s="41" t="s">
        <v>33</v>
      </c>
      <c r="F1454" s="41" t="s">
        <v>1132</v>
      </c>
      <c r="G1454" s="41" t="s">
        <v>28</v>
      </c>
      <c r="H1454" s="42"/>
    </row>
    <row r="1455" spans="2:8" ht="18" customHeight="1" x14ac:dyDescent="0.25">
      <c r="B1455" s="40">
        <f>SUBTOTAL(3,C$4:C1455)</f>
        <v>1402</v>
      </c>
      <c r="C1455" s="41">
        <v>24312778</v>
      </c>
      <c r="D1455" s="41" t="s">
        <v>2264</v>
      </c>
      <c r="E1455" s="41" t="s">
        <v>33</v>
      </c>
      <c r="F1455" s="41" t="s">
        <v>1132</v>
      </c>
      <c r="G1455" s="41" t="s">
        <v>28</v>
      </c>
      <c r="H1455" s="42"/>
    </row>
    <row r="1456" spans="2:8" ht="18" customHeight="1" x14ac:dyDescent="0.25">
      <c r="B1456" s="40">
        <f>SUBTOTAL(3,C$4:C1456)</f>
        <v>1403</v>
      </c>
      <c r="C1456" s="41">
        <v>24105122</v>
      </c>
      <c r="D1456" s="41" t="s">
        <v>2266</v>
      </c>
      <c r="E1456" s="41" t="s">
        <v>33</v>
      </c>
      <c r="F1456" s="41" t="s">
        <v>1132</v>
      </c>
      <c r="G1456" s="41" t="s">
        <v>28</v>
      </c>
      <c r="H1456" s="42"/>
    </row>
    <row r="1457" spans="2:8" ht="18" hidden="1" customHeight="1" x14ac:dyDescent="0.25">
      <c r="B1457" s="40">
        <f>SUBTOTAL(3,C$4:C1457)</f>
        <v>1403</v>
      </c>
      <c r="C1457" s="41">
        <v>24033483</v>
      </c>
      <c r="D1457" s="41" t="s">
        <v>2331</v>
      </c>
      <c r="E1457" s="41" t="s">
        <v>33</v>
      </c>
      <c r="F1457" s="41" t="s">
        <v>1132</v>
      </c>
      <c r="G1457" s="41" t="s">
        <v>27</v>
      </c>
      <c r="H1457" s="42" t="s">
        <v>2332</v>
      </c>
    </row>
    <row r="1458" spans="2:8" ht="18" customHeight="1" x14ac:dyDescent="0.25">
      <c r="B1458" s="40">
        <f>SUBTOTAL(3,C$4:C1458)</f>
        <v>1404</v>
      </c>
      <c r="C1458" s="41">
        <v>24036247</v>
      </c>
      <c r="D1458" s="41" t="s">
        <v>2378</v>
      </c>
      <c r="E1458" s="41" t="s">
        <v>33</v>
      </c>
      <c r="F1458" s="41" t="s">
        <v>1132</v>
      </c>
      <c r="G1458" s="41" t="s">
        <v>28</v>
      </c>
      <c r="H1458" s="42"/>
    </row>
    <row r="1459" spans="2:8" ht="18" customHeight="1" x14ac:dyDescent="0.25">
      <c r="B1459" s="40">
        <f>SUBTOTAL(3,C$4:C1459)</f>
        <v>1405</v>
      </c>
      <c r="C1459" s="41">
        <v>24310991</v>
      </c>
      <c r="D1459" s="41" t="s">
        <v>2407</v>
      </c>
      <c r="E1459" s="41" t="s">
        <v>33</v>
      </c>
      <c r="F1459" s="41" t="s">
        <v>1132</v>
      </c>
      <c r="G1459" s="41" t="s">
        <v>28</v>
      </c>
      <c r="H1459" s="42"/>
    </row>
    <row r="1460" spans="2:8" ht="18" customHeight="1" x14ac:dyDescent="0.25">
      <c r="B1460" s="40">
        <f>SUBTOTAL(3,C$4:C1460)</f>
        <v>1406</v>
      </c>
      <c r="C1460" s="41">
        <v>24275703</v>
      </c>
      <c r="D1460" s="41" t="s">
        <v>2433</v>
      </c>
      <c r="E1460" s="41" t="s">
        <v>33</v>
      </c>
      <c r="F1460" s="41" t="s">
        <v>1132</v>
      </c>
      <c r="G1460" s="41" t="s">
        <v>28</v>
      </c>
      <c r="H1460" s="42"/>
    </row>
    <row r="1461" spans="2:8" ht="18" customHeight="1" x14ac:dyDescent="0.25">
      <c r="B1461" s="40">
        <f>SUBTOTAL(3,C$4:C1461)</f>
        <v>1407</v>
      </c>
      <c r="C1461" s="41">
        <v>24315730</v>
      </c>
      <c r="D1461" s="41" t="s">
        <v>2042</v>
      </c>
      <c r="E1461" s="41" t="s">
        <v>33</v>
      </c>
      <c r="F1461" s="41" t="s">
        <v>1130</v>
      </c>
      <c r="G1461" s="41" t="s">
        <v>28</v>
      </c>
      <c r="H1461" s="42"/>
    </row>
    <row r="1462" spans="2:8" ht="18" customHeight="1" x14ac:dyDescent="0.25">
      <c r="B1462" s="40">
        <f>SUBTOTAL(3,C$4:C1462)</f>
        <v>1408</v>
      </c>
      <c r="C1462" s="41">
        <v>24110980</v>
      </c>
      <c r="D1462" s="41" t="s">
        <v>2093</v>
      </c>
      <c r="E1462" s="41" t="s">
        <v>33</v>
      </c>
      <c r="F1462" s="41" t="s">
        <v>1130</v>
      </c>
      <c r="G1462" s="41" t="s">
        <v>28</v>
      </c>
      <c r="H1462" s="42"/>
    </row>
    <row r="1463" spans="2:8" ht="18" customHeight="1" x14ac:dyDescent="0.25">
      <c r="B1463" s="40">
        <f>SUBTOTAL(3,C$4:C1463)</f>
        <v>1409</v>
      </c>
      <c r="C1463" s="41">
        <v>24330537</v>
      </c>
      <c r="D1463" s="41" t="s">
        <v>2095</v>
      </c>
      <c r="E1463" s="41" t="s">
        <v>33</v>
      </c>
      <c r="F1463" s="41" t="s">
        <v>1130</v>
      </c>
      <c r="G1463" s="41" t="s">
        <v>28</v>
      </c>
      <c r="H1463" s="42"/>
    </row>
    <row r="1464" spans="2:8" ht="18" customHeight="1" x14ac:dyDescent="0.25">
      <c r="B1464" s="40">
        <f>SUBTOTAL(3,C$4:C1464)</f>
        <v>1410</v>
      </c>
      <c r="C1464" s="41">
        <v>24102269</v>
      </c>
      <c r="D1464" s="41" t="s">
        <v>1129</v>
      </c>
      <c r="E1464" s="41" t="s">
        <v>33</v>
      </c>
      <c r="F1464" s="41" t="s">
        <v>1130</v>
      </c>
      <c r="G1464" s="41" t="s">
        <v>28</v>
      </c>
      <c r="H1464" s="42"/>
    </row>
    <row r="1465" spans="2:8" ht="18" customHeight="1" x14ac:dyDescent="0.25">
      <c r="B1465" s="40">
        <f>SUBTOTAL(3,C$4:C1465)</f>
        <v>1411</v>
      </c>
      <c r="C1465" s="41">
        <v>24321019</v>
      </c>
      <c r="D1465" s="41" t="s">
        <v>2206</v>
      </c>
      <c r="E1465" s="41" t="s">
        <v>33</v>
      </c>
      <c r="F1465" s="41" t="s">
        <v>1130</v>
      </c>
      <c r="G1465" s="41" t="s">
        <v>28</v>
      </c>
      <c r="H1465" s="42"/>
    </row>
    <row r="1466" spans="2:8" ht="18" customHeight="1" x14ac:dyDescent="0.25">
      <c r="B1466" s="40">
        <f>SUBTOTAL(3,C$4:C1466)</f>
        <v>1412</v>
      </c>
      <c r="C1466" s="41">
        <v>24111650</v>
      </c>
      <c r="D1466" s="41" t="s">
        <v>2207</v>
      </c>
      <c r="E1466" s="41" t="s">
        <v>33</v>
      </c>
      <c r="F1466" s="41" t="s">
        <v>1130</v>
      </c>
      <c r="G1466" s="41" t="s">
        <v>28</v>
      </c>
      <c r="H1466" s="42"/>
    </row>
    <row r="1467" spans="2:8" ht="18" customHeight="1" x14ac:dyDescent="0.25">
      <c r="B1467" s="40">
        <f>SUBTOTAL(3,C$4:C1467)</f>
        <v>1413</v>
      </c>
      <c r="C1467" s="41">
        <v>24103588</v>
      </c>
      <c r="D1467" s="41" t="s">
        <v>2244</v>
      </c>
      <c r="E1467" s="41" t="s">
        <v>33</v>
      </c>
      <c r="F1467" s="41" t="s">
        <v>1130</v>
      </c>
      <c r="G1467" s="41" t="s">
        <v>28</v>
      </c>
      <c r="H1467" s="42"/>
    </row>
    <row r="1468" spans="2:8" ht="18" customHeight="1" x14ac:dyDescent="0.25">
      <c r="B1468" s="40">
        <f>SUBTOTAL(3,C$4:C1468)</f>
        <v>1414</v>
      </c>
      <c r="C1468" s="41">
        <v>24219029</v>
      </c>
      <c r="D1468" s="41" t="s">
        <v>2256</v>
      </c>
      <c r="E1468" s="41" t="s">
        <v>33</v>
      </c>
      <c r="F1468" s="41" t="s">
        <v>1130</v>
      </c>
      <c r="G1468" s="41" t="s">
        <v>28</v>
      </c>
      <c r="H1468" s="42"/>
    </row>
    <row r="1469" spans="2:8" ht="18" customHeight="1" x14ac:dyDescent="0.25">
      <c r="B1469" s="40">
        <f>SUBTOTAL(3,C$4:C1469)</f>
        <v>1415</v>
      </c>
      <c r="C1469" s="41">
        <v>24033689</v>
      </c>
      <c r="D1469" s="41" t="s">
        <v>1968</v>
      </c>
      <c r="E1469" s="41" t="s">
        <v>33</v>
      </c>
      <c r="F1469" s="41" t="s">
        <v>1969</v>
      </c>
      <c r="G1469" s="41" t="s">
        <v>24</v>
      </c>
      <c r="H1469" s="42"/>
    </row>
    <row r="1470" spans="2:8" ht="18" hidden="1" customHeight="1" x14ac:dyDescent="0.25">
      <c r="B1470" s="40">
        <f>SUBTOTAL(3,C$4:C1470)</f>
        <v>1415</v>
      </c>
      <c r="C1470" s="41">
        <v>24039890</v>
      </c>
      <c r="D1470" s="41" t="s">
        <v>1984</v>
      </c>
      <c r="E1470" s="41" t="s">
        <v>33</v>
      </c>
      <c r="F1470" s="41" t="s">
        <v>1969</v>
      </c>
      <c r="G1470" s="41" t="s">
        <v>27</v>
      </c>
      <c r="H1470" s="42"/>
    </row>
    <row r="1471" spans="2:8" ht="18" hidden="1" customHeight="1" x14ac:dyDescent="0.25">
      <c r="B1471" s="40">
        <f>SUBTOTAL(3,C$4:C1471)</f>
        <v>1415</v>
      </c>
      <c r="C1471" s="41">
        <v>24038850</v>
      </c>
      <c r="D1471" s="41" t="s">
        <v>2115</v>
      </c>
      <c r="E1471" s="41" t="s">
        <v>33</v>
      </c>
      <c r="F1471" s="41" t="s">
        <v>1969</v>
      </c>
      <c r="G1471" s="41" t="s">
        <v>27</v>
      </c>
      <c r="H1471" s="42" t="s">
        <v>1148</v>
      </c>
    </row>
    <row r="1472" spans="2:8" ht="18" customHeight="1" x14ac:dyDescent="0.25">
      <c r="B1472" s="40">
        <f>SUBTOTAL(3,C$4:C1472)</f>
        <v>1416</v>
      </c>
      <c r="C1472" s="41">
        <v>24023677</v>
      </c>
      <c r="D1472" s="41" t="s">
        <v>2404</v>
      </c>
      <c r="E1472" s="41" t="s">
        <v>33</v>
      </c>
      <c r="F1472" s="41" t="s">
        <v>2405</v>
      </c>
      <c r="G1472" s="41" t="s">
        <v>28</v>
      </c>
      <c r="H1472" s="42"/>
    </row>
    <row r="1473" spans="2:8" ht="18" customHeight="1" x14ac:dyDescent="0.25">
      <c r="B1473" s="40">
        <f>SUBTOTAL(3,C$4:C1473)</f>
        <v>1417</v>
      </c>
      <c r="C1473" s="41">
        <v>24264894</v>
      </c>
      <c r="D1473" s="41" t="s">
        <v>1818</v>
      </c>
      <c r="E1473" s="41" t="s">
        <v>33</v>
      </c>
      <c r="F1473" s="41" t="s">
        <v>1140</v>
      </c>
      <c r="G1473" s="41" t="s">
        <v>28</v>
      </c>
      <c r="H1473" s="42"/>
    </row>
    <row r="1474" spans="2:8" ht="18" customHeight="1" x14ac:dyDescent="0.25">
      <c r="B1474" s="40">
        <f>SUBTOTAL(3,C$4:C1474)</f>
        <v>1418</v>
      </c>
      <c r="C1474" s="41">
        <v>24308787</v>
      </c>
      <c r="D1474" s="41" t="s">
        <v>1139</v>
      </c>
      <c r="E1474" s="41" t="s">
        <v>33</v>
      </c>
      <c r="F1474" s="41" t="s">
        <v>1140</v>
      </c>
      <c r="G1474" s="41" t="s">
        <v>28</v>
      </c>
      <c r="H1474" s="42"/>
    </row>
    <row r="1475" spans="2:8" ht="18" customHeight="1" x14ac:dyDescent="0.25">
      <c r="B1475" s="40">
        <f>SUBTOTAL(3,C$4:C1475)</f>
        <v>1419</v>
      </c>
      <c r="C1475" s="41">
        <v>24316496</v>
      </c>
      <c r="D1475" s="41" t="s">
        <v>1214</v>
      </c>
      <c r="E1475" s="41" t="s">
        <v>33</v>
      </c>
      <c r="F1475" s="41" t="s">
        <v>1140</v>
      </c>
      <c r="G1475" s="41" t="s">
        <v>28</v>
      </c>
      <c r="H1475" s="42"/>
    </row>
    <row r="1476" spans="2:8" ht="18" customHeight="1" x14ac:dyDescent="0.25">
      <c r="B1476" s="40">
        <f>SUBTOTAL(3,C$4:C1476)</f>
        <v>1420</v>
      </c>
      <c r="C1476" s="41">
        <v>24337147</v>
      </c>
      <c r="D1476" s="41" t="s">
        <v>2339</v>
      </c>
      <c r="E1476" s="41" t="s">
        <v>33</v>
      </c>
      <c r="F1476" s="41" t="s">
        <v>1140</v>
      </c>
      <c r="G1476" s="41" t="s">
        <v>28</v>
      </c>
      <c r="H1476" s="42"/>
    </row>
    <row r="1477" spans="2:8" ht="18" customHeight="1" x14ac:dyDescent="0.25">
      <c r="B1477" s="40">
        <f>SUBTOTAL(3,C$4:C1477)</f>
        <v>1421</v>
      </c>
      <c r="C1477" s="41">
        <v>24324573</v>
      </c>
      <c r="D1477" s="41" t="s">
        <v>2369</v>
      </c>
      <c r="E1477" s="41" t="s">
        <v>33</v>
      </c>
      <c r="F1477" s="41" t="s">
        <v>1140</v>
      </c>
      <c r="G1477" s="41" t="s">
        <v>28</v>
      </c>
      <c r="H1477" s="42"/>
    </row>
    <row r="1478" spans="2:8" ht="18" customHeight="1" x14ac:dyDescent="0.25">
      <c r="B1478" s="40">
        <f>SUBTOTAL(3,C$4:C1478)</f>
        <v>1422</v>
      </c>
      <c r="C1478" s="41">
        <v>24315708</v>
      </c>
      <c r="D1478" s="41" t="s">
        <v>1955</v>
      </c>
      <c r="E1478" s="41" t="s">
        <v>33</v>
      </c>
      <c r="F1478" s="41" t="s">
        <v>1956</v>
      </c>
      <c r="G1478" s="41" t="s">
        <v>28</v>
      </c>
      <c r="H1478" s="42"/>
    </row>
    <row r="1479" spans="2:8" ht="18" customHeight="1" x14ac:dyDescent="0.25">
      <c r="B1479" s="40">
        <f>SUBTOTAL(3,C$4:C1479)</f>
        <v>1423</v>
      </c>
      <c r="C1479" s="41">
        <v>24343024</v>
      </c>
      <c r="D1479" s="41" t="s">
        <v>1867</v>
      </c>
      <c r="E1479" s="41" t="s">
        <v>33</v>
      </c>
      <c r="F1479" s="41" t="s">
        <v>1868</v>
      </c>
      <c r="G1479" s="41" t="s">
        <v>28</v>
      </c>
      <c r="H1479" s="42"/>
    </row>
    <row r="1480" spans="2:8" ht="18" customHeight="1" x14ac:dyDescent="0.25">
      <c r="B1480" s="40">
        <f>SUBTOTAL(3,C$4:C1480)</f>
        <v>1424</v>
      </c>
      <c r="C1480" s="41">
        <v>24309897</v>
      </c>
      <c r="D1480" s="41" t="s">
        <v>1807</v>
      </c>
      <c r="E1480" s="41" t="s">
        <v>33</v>
      </c>
      <c r="F1480" s="41" t="s">
        <v>1235</v>
      </c>
      <c r="G1480" s="41" t="s">
        <v>28</v>
      </c>
      <c r="H1480" s="42"/>
    </row>
    <row r="1481" spans="2:8" ht="18" customHeight="1" x14ac:dyDescent="0.25">
      <c r="B1481" s="40">
        <f>SUBTOTAL(3,C$4:C1481)</f>
        <v>1425</v>
      </c>
      <c r="C1481" s="41">
        <v>24340290</v>
      </c>
      <c r="D1481" s="41" t="s">
        <v>1234</v>
      </c>
      <c r="E1481" s="41" t="s">
        <v>33</v>
      </c>
      <c r="F1481" s="41" t="s">
        <v>1235</v>
      </c>
      <c r="G1481" s="41" t="s">
        <v>28</v>
      </c>
      <c r="H1481" s="42"/>
    </row>
    <row r="1482" spans="2:8" ht="18" customHeight="1" x14ac:dyDescent="0.25">
      <c r="B1482" s="40">
        <f>SUBTOTAL(3,C$4:C1482)</f>
        <v>1426</v>
      </c>
      <c r="C1482" s="41">
        <v>24315724</v>
      </c>
      <c r="D1482" s="41" t="s">
        <v>2003</v>
      </c>
      <c r="E1482" s="41" t="s">
        <v>33</v>
      </c>
      <c r="F1482" s="41" t="s">
        <v>2004</v>
      </c>
      <c r="G1482" s="41" t="s">
        <v>28</v>
      </c>
      <c r="H1482" s="42"/>
    </row>
    <row r="1483" spans="2:8" ht="18" customHeight="1" x14ac:dyDescent="0.25">
      <c r="B1483" s="40">
        <f>SUBTOTAL(3,C$4:C1483)</f>
        <v>1427</v>
      </c>
      <c r="C1483" s="41">
        <v>24343034</v>
      </c>
      <c r="D1483" s="41" t="s">
        <v>2008</v>
      </c>
      <c r="E1483" s="41" t="s">
        <v>33</v>
      </c>
      <c r="F1483" s="41" t="s">
        <v>2009</v>
      </c>
      <c r="G1483" s="41" t="s">
        <v>28</v>
      </c>
      <c r="H1483" s="42"/>
    </row>
    <row r="1484" spans="2:8" ht="18" customHeight="1" x14ac:dyDescent="0.25">
      <c r="B1484" s="40">
        <f>SUBTOTAL(3,C$4:C1484)</f>
        <v>1428</v>
      </c>
      <c r="C1484" s="41">
        <v>24326845</v>
      </c>
      <c r="D1484" s="41" t="s">
        <v>2136</v>
      </c>
      <c r="E1484" s="41" t="s">
        <v>33</v>
      </c>
      <c r="F1484" s="41" t="s">
        <v>2009</v>
      </c>
      <c r="G1484" s="41" t="s">
        <v>28</v>
      </c>
      <c r="H1484" s="42"/>
    </row>
    <row r="1485" spans="2:8" ht="18" customHeight="1" x14ac:dyDescent="0.25">
      <c r="B1485" s="40">
        <f>SUBTOTAL(3,C$4:C1485)</f>
        <v>1429</v>
      </c>
      <c r="C1485" s="41">
        <v>24310999</v>
      </c>
      <c r="D1485" s="41" t="s">
        <v>2246</v>
      </c>
      <c r="E1485" s="41" t="s">
        <v>33</v>
      </c>
      <c r="F1485" s="41" t="s">
        <v>2009</v>
      </c>
      <c r="G1485" s="41" t="s">
        <v>28</v>
      </c>
      <c r="H1485" s="42"/>
    </row>
    <row r="1486" spans="2:8" ht="18" customHeight="1" x14ac:dyDescent="0.25">
      <c r="B1486" s="40">
        <f>SUBTOTAL(3,C$4:C1486)</f>
        <v>1430</v>
      </c>
      <c r="C1486" s="41">
        <v>24102255</v>
      </c>
      <c r="D1486" s="41" t="s">
        <v>2099</v>
      </c>
      <c r="E1486" s="41" t="s">
        <v>33</v>
      </c>
      <c r="F1486" s="41" t="s">
        <v>2100</v>
      </c>
      <c r="G1486" s="41" t="s">
        <v>28</v>
      </c>
      <c r="H1486" s="42"/>
    </row>
    <row r="1487" spans="2:8" ht="18" customHeight="1" x14ac:dyDescent="0.25">
      <c r="B1487" s="40">
        <f>SUBTOTAL(3,C$4:C1487)</f>
        <v>1431</v>
      </c>
      <c r="C1487" s="41">
        <v>24170929</v>
      </c>
      <c r="D1487" s="41" t="s">
        <v>2176</v>
      </c>
      <c r="E1487" s="41" t="s">
        <v>33</v>
      </c>
      <c r="F1487" s="41" t="s">
        <v>2177</v>
      </c>
      <c r="G1487" s="41" t="s">
        <v>28</v>
      </c>
      <c r="H1487" s="42"/>
    </row>
    <row r="1488" spans="2:8" ht="18" customHeight="1" x14ac:dyDescent="0.25">
      <c r="B1488" s="40">
        <f>SUBTOTAL(3,C$4:C1488)</f>
        <v>1432</v>
      </c>
      <c r="C1488" s="41">
        <v>24106668</v>
      </c>
      <c r="D1488" s="41" t="s">
        <v>1846</v>
      </c>
      <c r="E1488" s="41" t="s">
        <v>33</v>
      </c>
      <c r="F1488" s="41" t="s">
        <v>1847</v>
      </c>
      <c r="G1488" s="41" t="s">
        <v>28</v>
      </c>
      <c r="H1488" s="42"/>
    </row>
    <row r="1489" spans="2:8" ht="18" customHeight="1" x14ac:dyDescent="0.25">
      <c r="B1489" s="40">
        <f>SUBTOTAL(3,C$4:C1489)</f>
        <v>1433</v>
      </c>
      <c r="C1489" s="41">
        <v>24108528</v>
      </c>
      <c r="D1489" s="41" t="s">
        <v>2087</v>
      </c>
      <c r="E1489" s="41" t="s">
        <v>33</v>
      </c>
      <c r="F1489" s="41" t="s">
        <v>1847</v>
      </c>
      <c r="G1489" s="41" t="s">
        <v>28</v>
      </c>
      <c r="H1489" s="42"/>
    </row>
    <row r="1490" spans="2:8" ht="18" customHeight="1" x14ac:dyDescent="0.25">
      <c r="B1490" s="40">
        <f>SUBTOTAL(3,C$4:C1490)</f>
        <v>1434</v>
      </c>
      <c r="C1490" s="41">
        <v>24344468</v>
      </c>
      <c r="D1490" s="41" t="s">
        <v>2370</v>
      </c>
      <c r="E1490" s="41" t="s">
        <v>33</v>
      </c>
      <c r="F1490" s="41" t="s">
        <v>2371</v>
      </c>
      <c r="G1490" s="41" t="s">
        <v>28</v>
      </c>
      <c r="H1490" s="42"/>
    </row>
    <row r="1491" spans="2:8" ht="18" customHeight="1" x14ac:dyDescent="0.25">
      <c r="B1491" s="40">
        <f>SUBTOTAL(3,C$4:C1491)</f>
        <v>1435</v>
      </c>
      <c r="C1491" s="41">
        <v>24116152</v>
      </c>
      <c r="D1491" s="41" t="s">
        <v>1915</v>
      </c>
      <c r="E1491" s="41" t="s">
        <v>33</v>
      </c>
      <c r="F1491" s="41" t="s">
        <v>1916</v>
      </c>
      <c r="G1491" s="41" t="s">
        <v>28</v>
      </c>
      <c r="H1491" s="42"/>
    </row>
    <row r="1492" spans="2:8" ht="18" customHeight="1" x14ac:dyDescent="0.25">
      <c r="B1492" s="40">
        <f>SUBTOTAL(3,C$4:C1492)</f>
        <v>1436</v>
      </c>
      <c r="C1492" s="41">
        <v>24037577</v>
      </c>
      <c r="D1492" s="41" t="s">
        <v>1780</v>
      </c>
      <c r="E1492" s="41" t="s">
        <v>33</v>
      </c>
      <c r="F1492" s="41" t="s">
        <v>1170</v>
      </c>
      <c r="G1492" s="41" t="s">
        <v>28</v>
      </c>
      <c r="H1492" s="42"/>
    </row>
    <row r="1493" spans="2:8" ht="18" customHeight="1" x14ac:dyDescent="0.25">
      <c r="B1493" s="40">
        <f>SUBTOTAL(3,C$4:C1493)</f>
        <v>1437</v>
      </c>
      <c r="C1493" s="41">
        <v>24116710</v>
      </c>
      <c r="D1493" s="41" t="s">
        <v>1829</v>
      </c>
      <c r="E1493" s="41" t="s">
        <v>33</v>
      </c>
      <c r="F1493" s="41" t="s">
        <v>1170</v>
      </c>
      <c r="G1493" s="41" t="s">
        <v>28</v>
      </c>
      <c r="H1493" s="42"/>
    </row>
    <row r="1494" spans="2:8" ht="18" customHeight="1" x14ac:dyDescent="0.25">
      <c r="B1494" s="40">
        <f>SUBTOTAL(3,C$4:C1494)</f>
        <v>1438</v>
      </c>
      <c r="C1494" s="41">
        <v>24111969</v>
      </c>
      <c r="D1494" s="41" t="s">
        <v>1888</v>
      </c>
      <c r="E1494" s="41" t="s">
        <v>33</v>
      </c>
      <c r="F1494" s="41" t="s">
        <v>1170</v>
      </c>
      <c r="G1494" s="41" t="s">
        <v>28</v>
      </c>
      <c r="H1494" s="42"/>
    </row>
    <row r="1495" spans="2:8" ht="18" customHeight="1" x14ac:dyDescent="0.25">
      <c r="B1495" s="40">
        <f>SUBTOTAL(3,C$4:C1495)</f>
        <v>1439</v>
      </c>
      <c r="C1495" s="41">
        <v>24268167</v>
      </c>
      <c r="D1495" s="41" t="s">
        <v>1977</v>
      </c>
      <c r="E1495" s="41" t="s">
        <v>33</v>
      </c>
      <c r="F1495" s="41" t="s">
        <v>1170</v>
      </c>
      <c r="G1495" s="41" t="s">
        <v>28</v>
      </c>
      <c r="H1495" s="42"/>
    </row>
    <row r="1496" spans="2:8" ht="18" customHeight="1" x14ac:dyDescent="0.25">
      <c r="B1496" s="40">
        <f>SUBTOTAL(3,C$4:C1496)</f>
        <v>1440</v>
      </c>
      <c r="C1496" s="41">
        <v>24089361</v>
      </c>
      <c r="D1496" s="41" t="s">
        <v>1993</v>
      </c>
      <c r="E1496" s="41" t="s">
        <v>33</v>
      </c>
      <c r="F1496" s="41" t="s">
        <v>1170</v>
      </c>
      <c r="G1496" s="41" t="s">
        <v>28</v>
      </c>
      <c r="H1496" s="42"/>
    </row>
    <row r="1497" spans="2:8" ht="18" customHeight="1" x14ac:dyDescent="0.25">
      <c r="B1497" s="40">
        <f>SUBTOTAL(3,C$4:C1497)</f>
        <v>1441</v>
      </c>
      <c r="C1497" s="41">
        <v>24111184</v>
      </c>
      <c r="D1497" s="41" t="s">
        <v>2005</v>
      </c>
      <c r="E1497" s="41" t="s">
        <v>33</v>
      </c>
      <c r="F1497" s="41" t="s">
        <v>1170</v>
      </c>
      <c r="G1497" s="41" t="s">
        <v>28</v>
      </c>
      <c r="H1497" s="42"/>
    </row>
    <row r="1498" spans="2:8" ht="18" customHeight="1" x14ac:dyDescent="0.25">
      <c r="B1498" s="40">
        <f>SUBTOTAL(3,C$4:C1498)</f>
        <v>1442</v>
      </c>
      <c r="C1498" s="41">
        <v>24111101</v>
      </c>
      <c r="D1498" s="41" t="s">
        <v>2025</v>
      </c>
      <c r="E1498" s="41" t="s">
        <v>33</v>
      </c>
      <c r="F1498" s="41" t="s">
        <v>1170</v>
      </c>
      <c r="G1498" s="41" t="s">
        <v>28</v>
      </c>
      <c r="H1498" s="42"/>
    </row>
    <row r="1499" spans="2:8" ht="18" customHeight="1" x14ac:dyDescent="0.25">
      <c r="B1499" s="40">
        <f>SUBTOTAL(3,C$4:C1499)</f>
        <v>1443</v>
      </c>
      <c r="C1499" s="41">
        <v>24114916</v>
      </c>
      <c r="D1499" s="41" t="s">
        <v>2050</v>
      </c>
      <c r="E1499" s="41" t="s">
        <v>33</v>
      </c>
      <c r="F1499" s="41" t="s">
        <v>1170</v>
      </c>
      <c r="G1499" s="41" t="s">
        <v>28</v>
      </c>
      <c r="H1499" s="42"/>
    </row>
    <row r="1500" spans="2:8" ht="18" customHeight="1" x14ac:dyDescent="0.25">
      <c r="B1500" s="40">
        <f>SUBTOTAL(3,C$4:C1500)</f>
        <v>1444</v>
      </c>
      <c r="C1500" s="41">
        <v>24089846</v>
      </c>
      <c r="D1500" s="41" t="s">
        <v>2052</v>
      </c>
      <c r="E1500" s="41" t="s">
        <v>33</v>
      </c>
      <c r="F1500" s="41" t="s">
        <v>1170</v>
      </c>
      <c r="G1500" s="41" t="s">
        <v>28</v>
      </c>
      <c r="H1500" s="42"/>
    </row>
    <row r="1501" spans="2:8" ht="18" customHeight="1" x14ac:dyDescent="0.25">
      <c r="B1501" s="40">
        <f>SUBTOTAL(3,C$4:C1501)</f>
        <v>1445</v>
      </c>
      <c r="C1501" s="41">
        <v>24034171</v>
      </c>
      <c r="D1501" s="41" t="s">
        <v>2061</v>
      </c>
      <c r="E1501" s="41" t="s">
        <v>33</v>
      </c>
      <c r="F1501" s="41" t="s">
        <v>1170</v>
      </c>
      <c r="G1501" s="41" t="s">
        <v>28</v>
      </c>
      <c r="H1501" s="42"/>
    </row>
    <row r="1502" spans="2:8" ht="18" customHeight="1" x14ac:dyDescent="0.25">
      <c r="B1502" s="40">
        <f>SUBTOTAL(3,C$4:C1502)</f>
        <v>1446</v>
      </c>
      <c r="C1502" s="41">
        <v>24112122</v>
      </c>
      <c r="D1502" s="41" t="s">
        <v>1169</v>
      </c>
      <c r="E1502" s="41" t="s">
        <v>33</v>
      </c>
      <c r="F1502" s="41" t="s">
        <v>1170</v>
      </c>
      <c r="G1502" s="41" t="s">
        <v>28</v>
      </c>
      <c r="H1502" s="42"/>
    </row>
    <row r="1503" spans="2:8" ht="18" customHeight="1" x14ac:dyDescent="0.25">
      <c r="B1503" s="40">
        <f>SUBTOTAL(3,C$4:C1503)</f>
        <v>1447</v>
      </c>
      <c r="C1503" s="41">
        <v>24111591</v>
      </c>
      <c r="D1503" s="41" t="s">
        <v>1196</v>
      </c>
      <c r="E1503" s="41" t="s">
        <v>33</v>
      </c>
      <c r="F1503" s="41" t="s">
        <v>1170</v>
      </c>
      <c r="G1503" s="41" t="s">
        <v>28</v>
      </c>
      <c r="H1503" s="42"/>
    </row>
    <row r="1504" spans="2:8" ht="18" customHeight="1" x14ac:dyDescent="0.25">
      <c r="B1504" s="40">
        <f>SUBTOTAL(3,C$4:C1504)</f>
        <v>1448</v>
      </c>
      <c r="C1504" s="41">
        <v>24115427</v>
      </c>
      <c r="D1504" s="41" t="s">
        <v>1213</v>
      </c>
      <c r="E1504" s="41" t="s">
        <v>33</v>
      </c>
      <c r="F1504" s="41" t="s">
        <v>1170</v>
      </c>
      <c r="G1504" s="41" t="s">
        <v>28</v>
      </c>
      <c r="H1504" s="42"/>
    </row>
    <row r="1505" spans="2:8" ht="18" customHeight="1" x14ac:dyDescent="0.25">
      <c r="B1505" s="40">
        <f>SUBTOTAL(3,C$4:C1505)</f>
        <v>1449</v>
      </c>
      <c r="C1505" s="41">
        <v>24089296</v>
      </c>
      <c r="D1505" s="41" t="s">
        <v>1239</v>
      </c>
      <c r="E1505" s="41" t="s">
        <v>33</v>
      </c>
      <c r="F1505" s="41" t="s">
        <v>1170</v>
      </c>
      <c r="G1505" s="41" t="s">
        <v>28</v>
      </c>
      <c r="H1505" s="42"/>
    </row>
    <row r="1506" spans="2:8" ht="18" customHeight="1" x14ac:dyDescent="0.25">
      <c r="B1506" s="40">
        <f>SUBTOTAL(3,C$4:C1506)</f>
        <v>1450</v>
      </c>
      <c r="C1506" s="41">
        <v>24291903</v>
      </c>
      <c r="D1506" s="41" t="s">
        <v>2150</v>
      </c>
      <c r="E1506" s="41" t="s">
        <v>33</v>
      </c>
      <c r="F1506" s="41" t="s">
        <v>1170</v>
      </c>
      <c r="G1506" s="41" t="s">
        <v>28</v>
      </c>
      <c r="H1506" s="42"/>
    </row>
    <row r="1507" spans="2:8" ht="18" customHeight="1" x14ac:dyDescent="0.25">
      <c r="B1507" s="40">
        <f>SUBTOTAL(3,C$4:C1507)</f>
        <v>1451</v>
      </c>
      <c r="C1507" s="41">
        <v>24115103</v>
      </c>
      <c r="D1507" s="41" t="s">
        <v>2210</v>
      </c>
      <c r="E1507" s="41" t="s">
        <v>33</v>
      </c>
      <c r="F1507" s="41" t="s">
        <v>1170</v>
      </c>
      <c r="G1507" s="41" t="s">
        <v>28</v>
      </c>
      <c r="H1507" s="42"/>
    </row>
    <row r="1508" spans="2:8" ht="18" customHeight="1" x14ac:dyDescent="0.25">
      <c r="B1508" s="40">
        <f>SUBTOTAL(3,C$4:C1508)</f>
        <v>1452</v>
      </c>
      <c r="C1508" s="41">
        <v>24114104</v>
      </c>
      <c r="D1508" s="41" t="s">
        <v>2214</v>
      </c>
      <c r="E1508" s="41" t="s">
        <v>33</v>
      </c>
      <c r="F1508" s="41" t="s">
        <v>1170</v>
      </c>
      <c r="G1508" s="41" t="s">
        <v>28</v>
      </c>
      <c r="H1508" s="42"/>
    </row>
    <row r="1509" spans="2:8" ht="18" customHeight="1" x14ac:dyDescent="0.25">
      <c r="B1509" s="40">
        <f>SUBTOTAL(3,C$4:C1509)</f>
        <v>1453</v>
      </c>
      <c r="C1509" s="41">
        <v>24089298</v>
      </c>
      <c r="D1509" s="41" t="s">
        <v>2301</v>
      </c>
      <c r="E1509" s="41" t="s">
        <v>33</v>
      </c>
      <c r="F1509" s="41" t="s">
        <v>1170</v>
      </c>
      <c r="G1509" s="41" t="s">
        <v>28</v>
      </c>
      <c r="H1509" s="42"/>
    </row>
    <row r="1510" spans="2:8" ht="18" customHeight="1" x14ac:dyDescent="0.25">
      <c r="B1510" s="40">
        <f>SUBTOTAL(3,C$4:C1510)</f>
        <v>1454</v>
      </c>
      <c r="C1510" s="41">
        <v>24114618</v>
      </c>
      <c r="D1510" s="41" t="s">
        <v>2435</v>
      </c>
      <c r="E1510" s="41" t="s">
        <v>33</v>
      </c>
      <c r="F1510" s="41" t="s">
        <v>1170</v>
      </c>
      <c r="G1510" s="41" t="s">
        <v>28</v>
      </c>
      <c r="H1510" s="42"/>
    </row>
    <row r="1511" spans="2:8" ht="18" customHeight="1" x14ac:dyDescent="0.25">
      <c r="B1511" s="40">
        <f>SUBTOTAL(3,C$4:C1511)</f>
        <v>1455</v>
      </c>
      <c r="C1511" s="41">
        <v>24113177</v>
      </c>
      <c r="D1511" s="41" t="s">
        <v>1920</v>
      </c>
      <c r="E1511" s="41" t="s">
        <v>33</v>
      </c>
      <c r="F1511" s="41" t="s">
        <v>1921</v>
      </c>
      <c r="G1511" s="41" t="s">
        <v>28</v>
      </c>
      <c r="H1511" s="42"/>
    </row>
    <row r="1512" spans="2:8" ht="18" customHeight="1" x14ac:dyDescent="0.25">
      <c r="B1512" s="40">
        <f>SUBTOTAL(3,C$4:C1512)</f>
        <v>1456</v>
      </c>
      <c r="C1512" s="41">
        <v>24104249</v>
      </c>
      <c r="D1512" s="41" t="s">
        <v>1963</v>
      </c>
      <c r="E1512" s="41" t="s">
        <v>33</v>
      </c>
      <c r="F1512" s="41" t="s">
        <v>1921</v>
      </c>
      <c r="G1512" s="41" t="s">
        <v>28</v>
      </c>
      <c r="H1512" s="42"/>
    </row>
    <row r="1513" spans="2:8" ht="18" customHeight="1" x14ac:dyDescent="0.25">
      <c r="B1513" s="40">
        <f>SUBTOTAL(3,C$4:C1513)</f>
        <v>1457</v>
      </c>
      <c r="C1513" s="41">
        <v>24112788</v>
      </c>
      <c r="D1513" s="41" t="s">
        <v>1998</v>
      </c>
      <c r="E1513" s="41" t="s">
        <v>33</v>
      </c>
      <c r="F1513" s="41" t="s">
        <v>1921</v>
      </c>
      <c r="G1513" s="41" t="s">
        <v>28</v>
      </c>
      <c r="H1513" s="42"/>
    </row>
    <row r="1514" spans="2:8" ht="18" customHeight="1" x14ac:dyDescent="0.25">
      <c r="B1514" s="40">
        <f>SUBTOTAL(3,C$4:C1514)</f>
        <v>1458</v>
      </c>
      <c r="C1514" s="41">
        <v>24115913</v>
      </c>
      <c r="D1514" s="41" t="s">
        <v>2045</v>
      </c>
      <c r="E1514" s="41" t="s">
        <v>33</v>
      </c>
      <c r="F1514" s="41" t="s">
        <v>1921</v>
      </c>
      <c r="G1514" s="41" t="s">
        <v>28</v>
      </c>
      <c r="H1514" s="42"/>
    </row>
    <row r="1515" spans="2:8" ht="18" customHeight="1" x14ac:dyDescent="0.25">
      <c r="B1515" s="40">
        <f>SUBTOTAL(3,C$4:C1515)</f>
        <v>1459</v>
      </c>
      <c r="C1515" s="41">
        <v>24089032</v>
      </c>
      <c r="D1515" s="41" t="s">
        <v>2091</v>
      </c>
      <c r="E1515" s="41" t="s">
        <v>33</v>
      </c>
      <c r="F1515" s="41" t="s">
        <v>1921</v>
      </c>
      <c r="G1515" s="41" t="s">
        <v>28</v>
      </c>
      <c r="H1515" s="42"/>
    </row>
    <row r="1516" spans="2:8" ht="18" customHeight="1" x14ac:dyDescent="0.25">
      <c r="B1516" s="40">
        <f>SUBTOTAL(3,C$4:C1516)</f>
        <v>1460</v>
      </c>
      <c r="C1516" s="41">
        <v>24113590</v>
      </c>
      <c r="D1516" s="41" t="s">
        <v>2096</v>
      </c>
      <c r="E1516" s="41" t="s">
        <v>33</v>
      </c>
      <c r="F1516" s="41" t="s">
        <v>1921</v>
      </c>
      <c r="G1516" s="41" t="s">
        <v>28</v>
      </c>
      <c r="H1516" s="42"/>
    </row>
    <row r="1517" spans="2:8" ht="18" customHeight="1" x14ac:dyDescent="0.25">
      <c r="B1517" s="40">
        <f>SUBTOTAL(3,C$4:C1517)</f>
        <v>1461</v>
      </c>
      <c r="C1517" s="41">
        <v>24112848</v>
      </c>
      <c r="D1517" s="41" t="s">
        <v>2190</v>
      </c>
      <c r="E1517" s="41" t="s">
        <v>33</v>
      </c>
      <c r="F1517" s="41" t="s">
        <v>1921</v>
      </c>
      <c r="G1517" s="41" t="s">
        <v>28</v>
      </c>
      <c r="H1517" s="42"/>
    </row>
    <row r="1518" spans="2:8" ht="18" customHeight="1" x14ac:dyDescent="0.25">
      <c r="B1518" s="40">
        <f>SUBTOTAL(3,C$4:C1518)</f>
        <v>1462</v>
      </c>
      <c r="C1518" s="41">
        <v>24114174</v>
      </c>
      <c r="D1518" s="41" t="s">
        <v>2204</v>
      </c>
      <c r="E1518" s="41" t="s">
        <v>33</v>
      </c>
      <c r="F1518" s="41" t="s">
        <v>1921</v>
      </c>
      <c r="G1518" s="41" t="s">
        <v>28</v>
      </c>
      <c r="H1518" s="42"/>
    </row>
    <row r="1519" spans="2:8" ht="18" customHeight="1" x14ac:dyDescent="0.25">
      <c r="B1519" s="40">
        <f>SUBTOTAL(3,C$4:C1519)</f>
        <v>1463</v>
      </c>
      <c r="C1519" s="41">
        <v>24115421</v>
      </c>
      <c r="D1519" s="41" t="s">
        <v>2228</v>
      </c>
      <c r="E1519" s="41" t="s">
        <v>33</v>
      </c>
      <c r="F1519" s="41" t="s">
        <v>1921</v>
      </c>
      <c r="G1519" s="41" t="s">
        <v>28</v>
      </c>
      <c r="H1519" s="42"/>
    </row>
    <row r="1520" spans="2:8" ht="18" customHeight="1" x14ac:dyDescent="0.25">
      <c r="B1520" s="40">
        <f>SUBTOTAL(3,C$4:C1520)</f>
        <v>1464</v>
      </c>
      <c r="C1520" s="41">
        <v>24116447</v>
      </c>
      <c r="D1520" s="41" t="s">
        <v>2232</v>
      </c>
      <c r="E1520" s="41" t="s">
        <v>33</v>
      </c>
      <c r="F1520" s="41" t="s">
        <v>1921</v>
      </c>
      <c r="G1520" s="41" t="s">
        <v>28</v>
      </c>
      <c r="H1520" s="42"/>
    </row>
    <row r="1521" spans="2:8" ht="18" customHeight="1" x14ac:dyDescent="0.25">
      <c r="B1521" s="40">
        <f>SUBTOTAL(3,C$4:C1521)</f>
        <v>1465</v>
      </c>
      <c r="C1521" s="41">
        <v>24115673</v>
      </c>
      <c r="D1521" s="41" t="s">
        <v>2316</v>
      </c>
      <c r="E1521" s="41" t="s">
        <v>33</v>
      </c>
      <c r="F1521" s="41" t="s">
        <v>1921</v>
      </c>
      <c r="G1521" s="41" t="s">
        <v>28</v>
      </c>
      <c r="H1521" s="42"/>
    </row>
    <row r="1522" spans="2:8" ht="18" customHeight="1" x14ac:dyDescent="0.25">
      <c r="B1522" s="40">
        <f>SUBTOTAL(3,C$4:C1522)</f>
        <v>1466</v>
      </c>
      <c r="C1522" s="41">
        <v>24111357</v>
      </c>
      <c r="D1522" s="41" t="s">
        <v>2362</v>
      </c>
      <c r="E1522" s="41" t="s">
        <v>33</v>
      </c>
      <c r="F1522" s="41" t="s">
        <v>1921</v>
      </c>
      <c r="G1522" s="41" t="s">
        <v>28</v>
      </c>
      <c r="H1522" s="42"/>
    </row>
    <row r="1523" spans="2:8" ht="18" customHeight="1" x14ac:dyDescent="0.25">
      <c r="B1523" s="40">
        <f>SUBTOTAL(3,C$4:C1523)</f>
        <v>1467</v>
      </c>
      <c r="C1523" s="41">
        <v>24090878</v>
      </c>
      <c r="D1523" s="41" t="s">
        <v>2389</v>
      </c>
      <c r="E1523" s="41" t="s">
        <v>33</v>
      </c>
      <c r="F1523" s="41" t="s">
        <v>1921</v>
      </c>
      <c r="G1523" s="41" t="s">
        <v>28</v>
      </c>
      <c r="H1523" s="42"/>
    </row>
    <row r="1524" spans="2:8" ht="18" customHeight="1" x14ac:dyDescent="0.25">
      <c r="B1524" s="40">
        <f>SUBTOTAL(3,C$4:C1524)</f>
        <v>1468</v>
      </c>
      <c r="C1524" s="41">
        <v>24089022</v>
      </c>
      <c r="D1524" s="41" t="s">
        <v>2406</v>
      </c>
      <c r="E1524" s="41" t="s">
        <v>33</v>
      </c>
      <c r="F1524" s="41" t="s">
        <v>1921</v>
      </c>
      <c r="G1524" s="41" t="s">
        <v>28</v>
      </c>
      <c r="H1524" s="42"/>
    </row>
    <row r="1525" spans="2:8" ht="18" customHeight="1" x14ac:dyDescent="0.25">
      <c r="B1525" s="40">
        <f>SUBTOTAL(3,C$4:C1525)</f>
        <v>1469</v>
      </c>
      <c r="C1525" s="41">
        <v>24117697</v>
      </c>
      <c r="D1525" s="41" t="s">
        <v>2449</v>
      </c>
      <c r="E1525" s="41" t="s">
        <v>33</v>
      </c>
      <c r="F1525" s="41" t="s">
        <v>2450</v>
      </c>
      <c r="G1525" s="41" t="s">
        <v>28</v>
      </c>
      <c r="H1525" s="42"/>
    </row>
    <row r="1526" spans="2:8" ht="18" customHeight="1" x14ac:dyDescent="0.25">
      <c r="B1526" s="40">
        <f>SUBTOTAL(3,C$4:C1526)</f>
        <v>1470</v>
      </c>
      <c r="C1526" s="41">
        <v>24088866</v>
      </c>
      <c r="D1526" s="41" t="s">
        <v>1893</v>
      </c>
      <c r="E1526" s="41" t="s">
        <v>33</v>
      </c>
      <c r="F1526" s="41" t="s">
        <v>1267</v>
      </c>
      <c r="G1526" s="41" t="s">
        <v>28</v>
      </c>
      <c r="H1526" s="42"/>
    </row>
    <row r="1527" spans="2:8" ht="18" customHeight="1" x14ac:dyDescent="0.25">
      <c r="B1527" s="40">
        <f>SUBTOTAL(3,C$4:C1527)</f>
        <v>1471</v>
      </c>
      <c r="C1527" s="41">
        <v>24111685</v>
      </c>
      <c r="D1527" s="41" t="s">
        <v>1903</v>
      </c>
      <c r="E1527" s="41" t="s">
        <v>33</v>
      </c>
      <c r="F1527" s="41" t="s">
        <v>1267</v>
      </c>
      <c r="G1527" s="41" t="s">
        <v>28</v>
      </c>
      <c r="H1527" s="42"/>
    </row>
    <row r="1528" spans="2:8" ht="18" customHeight="1" x14ac:dyDescent="0.25">
      <c r="B1528" s="40">
        <f>SUBTOTAL(3,C$4:C1528)</f>
        <v>1472</v>
      </c>
      <c r="C1528" s="41">
        <v>24114666</v>
      </c>
      <c r="D1528" s="41" t="s">
        <v>1985</v>
      </c>
      <c r="E1528" s="41" t="s">
        <v>33</v>
      </c>
      <c r="F1528" s="41" t="s">
        <v>1267</v>
      </c>
      <c r="G1528" s="41" t="s">
        <v>28</v>
      </c>
      <c r="H1528" s="42"/>
    </row>
    <row r="1529" spans="2:8" ht="18" customHeight="1" x14ac:dyDescent="0.25">
      <c r="B1529" s="40">
        <f>SUBTOTAL(3,C$4:C1529)</f>
        <v>1473</v>
      </c>
      <c r="C1529" s="41">
        <v>24114575</v>
      </c>
      <c r="D1529" s="41" t="s">
        <v>2007</v>
      </c>
      <c r="E1529" s="41" t="s">
        <v>33</v>
      </c>
      <c r="F1529" s="41" t="s">
        <v>1267</v>
      </c>
      <c r="G1529" s="41" t="s">
        <v>28</v>
      </c>
      <c r="H1529" s="42"/>
    </row>
    <row r="1530" spans="2:8" ht="18" customHeight="1" x14ac:dyDescent="0.25">
      <c r="B1530" s="40">
        <f>SUBTOTAL(3,C$4:C1530)</f>
        <v>1474</v>
      </c>
      <c r="C1530" s="41">
        <v>24111785</v>
      </c>
      <c r="D1530" s="41" t="s">
        <v>2022</v>
      </c>
      <c r="E1530" s="41" t="s">
        <v>33</v>
      </c>
      <c r="F1530" s="41" t="s">
        <v>1267</v>
      </c>
      <c r="G1530" s="41" t="s">
        <v>28</v>
      </c>
      <c r="H1530" s="42"/>
    </row>
    <row r="1531" spans="2:8" ht="18" customHeight="1" x14ac:dyDescent="0.25">
      <c r="B1531" s="40">
        <f>SUBTOTAL(3,C$4:C1531)</f>
        <v>1475</v>
      </c>
      <c r="C1531" s="41">
        <v>24022966</v>
      </c>
      <c r="D1531" s="41" t="s">
        <v>2082</v>
      </c>
      <c r="E1531" s="41" t="s">
        <v>33</v>
      </c>
      <c r="F1531" s="41" t="s">
        <v>1267</v>
      </c>
      <c r="G1531" s="41" t="s">
        <v>28</v>
      </c>
      <c r="H1531" s="42"/>
    </row>
    <row r="1532" spans="2:8" ht="18" customHeight="1" x14ac:dyDescent="0.25">
      <c r="B1532" s="40">
        <f>SUBTOTAL(3,C$4:C1532)</f>
        <v>1476</v>
      </c>
      <c r="C1532" s="41">
        <v>24250466</v>
      </c>
      <c r="D1532" s="41" t="s">
        <v>1266</v>
      </c>
      <c r="E1532" s="41" t="s">
        <v>33</v>
      </c>
      <c r="F1532" s="41" t="s">
        <v>1267</v>
      </c>
      <c r="G1532" s="41" t="s">
        <v>28</v>
      </c>
      <c r="H1532" s="42"/>
    </row>
    <row r="1533" spans="2:8" ht="18" customHeight="1" x14ac:dyDescent="0.25">
      <c r="B1533" s="40">
        <f>SUBTOTAL(3,C$4:C1533)</f>
        <v>1477</v>
      </c>
      <c r="C1533" s="41">
        <v>24115568</v>
      </c>
      <c r="D1533" s="41" t="s">
        <v>2125</v>
      </c>
      <c r="E1533" s="41" t="s">
        <v>33</v>
      </c>
      <c r="F1533" s="41" t="s">
        <v>1267</v>
      </c>
      <c r="G1533" s="41" t="s">
        <v>28</v>
      </c>
      <c r="H1533" s="42"/>
    </row>
    <row r="1534" spans="2:8" ht="18" customHeight="1" x14ac:dyDescent="0.25">
      <c r="B1534" s="40">
        <f>SUBTOTAL(3,C$4:C1534)</f>
        <v>1478</v>
      </c>
      <c r="C1534" s="41">
        <v>24110492</v>
      </c>
      <c r="D1534" s="41" t="s">
        <v>2186</v>
      </c>
      <c r="E1534" s="41" t="s">
        <v>33</v>
      </c>
      <c r="F1534" s="41" t="s">
        <v>1267</v>
      </c>
      <c r="G1534" s="41" t="s">
        <v>28</v>
      </c>
      <c r="H1534" s="42"/>
    </row>
    <row r="1535" spans="2:8" ht="18" customHeight="1" x14ac:dyDescent="0.25">
      <c r="B1535" s="40">
        <f>SUBTOTAL(3,C$4:C1535)</f>
        <v>1479</v>
      </c>
      <c r="C1535" s="41">
        <v>24115228</v>
      </c>
      <c r="D1535" s="41" t="s">
        <v>2259</v>
      </c>
      <c r="E1535" s="41" t="s">
        <v>33</v>
      </c>
      <c r="F1535" s="41" t="s">
        <v>1267</v>
      </c>
      <c r="G1535" s="41" t="s">
        <v>28</v>
      </c>
      <c r="H1535" s="42"/>
    </row>
    <row r="1536" spans="2:8" ht="18" customHeight="1" x14ac:dyDescent="0.25">
      <c r="B1536" s="40">
        <f>SUBTOTAL(3,C$4:C1536)</f>
        <v>1480</v>
      </c>
      <c r="C1536" s="41">
        <v>24111896</v>
      </c>
      <c r="D1536" s="41" t="s">
        <v>2299</v>
      </c>
      <c r="E1536" s="41" t="s">
        <v>33</v>
      </c>
      <c r="F1536" s="41" t="s">
        <v>1267</v>
      </c>
      <c r="G1536" s="41" t="s">
        <v>28</v>
      </c>
      <c r="H1536" s="42"/>
    </row>
    <row r="1537" spans="2:8" ht="18" customHeight="1" x14ac:dyDescent="0.25">
      <c r="B1537" s="40">
        <f>SUBTOTAL(3,C$4:C1537)</f>
        <v>1481</v>
      </c>
      <c r="C1537" s="41">
        <v>24089054</v>
      </c>
      <c r="D1537" s="41" t="s">
        <v>2307</v>
      </c>
      <c r="E1537" s="41" t="s">
        <v>33</v>
      </c>
      <c r="F1537" s="41" t="s">
        <v>1267</v>
      </c>
      <c r="G1537" s="41" t="s">
        <v>28</v>
      </c>
      <c r="H1537" s="42"/>
    </row>
    <row r="1538" spans="2:8" ht="18" customHeight="1" x14ac:dyDescent="0.25">
      <c r="B1538" s="40">
        <f>SUBTOTAL(3,C$4:C1538)</f>
        <v>1482</v>
      </c>
      <c r="C1538" s="41">
        <v>24115167</v>
      </c>
      <c r="D1538" s="41" t="s">
        <v>2358</v>
      </c>
      <c r="E1538" s="41" t="s">
        <v>33</v>
      </c>
      <c r="F1538" s="41" t="s">
        <v>1267</v>
      </c>
      <c r="G1538" s="41" t="s">
        <v>28</v>
      </c>
      <c r="H1538" s="42"/>
    </row>
    <row r="1539" spans="2:8" ht="18" customHeight="1" x14ac:dyDescent="0.25">
      <c r="B1539" s="40">
        <f>SUBTOTAL(3,C$4:C1539)</f>
        <v>1483</v>
      </c>
      <c r="C1539" s="41">
        <v>24115888</v>
      </c>
      <c r="D1539" s="41" t="s">
        <v>2363</v>
      </c>
      <c r="E1539" s="41" t="s">
        <v>33</v>
      </c>
      <c r="F1539" s="41" t="s">
        <v>1267</v>
      </c>
      <c r="G1539" s="41" t="s">
        <v>28</v>
      </c>
      <c r="H1539" s="42"/>
    </row>
    <row r="1540" spans="2:8" ht="18" customHeight="1" x14ac:dyDescent="0.25">
      <c r="B1540" s="40">
        <f>SUBTOTAL(3,C$4:C1540)</f>
        <v>1484</v>
      </c>
      <c r="C1540" s="41">
        <v>24117576</v>
      </c>
      <c r="D1540" s="41" t="s">
        <v>2368</v>
      </c>
      <c r="E1540" s="41" t="s">
        <v>33</v>
      </c>
      <c r="F1540" s="41" t="s">
        <v>1267</v>
      </c>
      <c r="G1540" s="41" t="s">
        <v>28</v>
      </c>
      <c r="H1540" s="42"/>
    </row>
    <row r="1541" spans="2:8" ht="18" customHeight="1" x14ac:dyDescent="0.25">
      <c r="B1541" s="40">
        <f>SUBTOTAL(3,C$4:C1541)</f>
        <v>1485</v>
      </c>
      <c r="C1541" s="41">
        <v>24111451</v>
      </c>
      <c r="D1541" s="41" t="s">
        <v>2390</v>
      </c>
      <c r="E1541" s="41" t="s">
        <v>33</v>
      </c>
      <c r="F1541" s="41" t="s">
        <v>1267</v>
      </c>
      <c r="G1541" s="41" t="s">
        <v>28</v>
      </c>
      <c r="H1541" s="42"/>
    </row>
    <row r="1542" spans="2:8" ht="18" customHeight="1" x14ac:dyDescent="0.25">
      <c r="B1542" s="40">
        <f>SUBTOTAL(3,C$4:C1542)</f>
        <v>1486</v>
      </c>
      <c r="C1542" s="41">
        <v>24024899</v>
      </c>
      <c r="D1542" s="41" t="s">
        <v>2401</v>
      </c>
      <c r="E1542" s="41" t="s">
        <v>33</v>
      </c>
      <c r="F1542" s="41" t="s">
        <v>1267</v>
      </c>
      <c r="G1542" s="41" t="s">
        <v>28</v>
      </c>
      <c r="H1542" s="42"/>
    </row>
    <row r="1543" spans="2:8" ht="18" customHeight="1" x14ac:dyDescent="0.25">
      <c r="B1543" s="40">
        <f>SUBTOTAL(3,C$4:C1543)</f>
        <v>1487</v>
      </c>
      <c r="C1543" s="41">
        <v>24089665</v>
      </c>
      <c r="D1543" s="41" t="s">
        <v>1823</v>
      </c>
      <c r="E1543" s="41" t="s">
        <v>33</v>
      </c>
      <c r="F1543" s="41" t="s">
        <v>1207</v>
      </c>
      <c r="G1543" s="41" t="s">
        <v>28</v>
      </c>
      <c r="H1543" s="42"/>
    </row>
    <row r="1544" spans="2:8" ht="18" customHeight="1" x14ac:dyDescent="0.25">
      <c r="B1544" s="40">
        <f>SUBTOTAL(3,C$4:C1544)</f>
        <v>1488</v>
      </c>
      <c r="C1544" s="41">
        <v>24111173</v>
      </c>
      <c r="D1544" s="41" t="s">
        <v>1848</v>
      </c>
      <c r="E1544" s="41" t="s">
        <v>33</v>
      </c>
      <c r="F1544" s="41" t="s">
        <v>1207</v>
      </c>
      <c r="G1544" s="41" t="s">
        <v>28</v>
      </c>
      <c r="H1544" s="42"/>
    </row>
    <row r="1545" spans="2:8" ht="18" customHeight="1" x14ac:dyDescent="0.25">
      <c r="B1545" s="40">
        <f>SUBTOTAL(3,C$4:C1545)</f>
        <v>1489</v>
      </c>
      <c r="C1545" s="41">
        <v>24110561</v>
      </c>
      <c r="D1545" s="41" t="s">
        <v>1850</v>
      </c>
      <c r="E1545" s="41" t="s">
        <v>33</v>
      </c>
      <c r="F1545" s="41" t="s">
        <v>1207</v>
      </c>
      <c r="G1545" s="41" t="s">
        <v>28</v>
      </c>
      <c r="H1545" s="42"/>
    </row>
    <row r="1546" spans="2:8" ht="18" customHeight="1" x14ac:dyDescent="0.25">
      <c r="B1546" s="40">
        <f>SUBTOTAL(3,C$4:C1546)</f>
        <v>1490</v>
      </c>
      <c r="C1546" s="41">
        <v>24103053</v>
      </c>
      <c r="D1546" s="41" t="s">
        <v>1896</v>
      </c>
      <c r="E1546" s="41" t="s">
        <v>33</v>
      </c>
      <c r="F1546" s="41" t="s">
        <v>1207</v>
      </c>
      <c r="G1546" s="41" t="s">
        <v>28</v>
      </c>
      <c r="H1546" s="42"/>
    </row>
    <row r="1547" spans="2:8" ht="18" customHeight="1" x14ac:dyDescent="0.25">
      <c r="B1547" s="40">
        <f>SUBTOTAL(3,C$4:C1547)</f>
        <v>1491</v>
      </c>
      <c r="C1547" s="41">
        <v>24033319</v>
      </c>
      <c r="D1547" s="41" t="s">
        <v>1964</v>
      </c>
      <c r="E1547" s="41" t="s">
        <v>33</v>
      </c>
      <c r="F1547" s="41" t="s">
        <v>1207</v>
      </c>
      <c r="G1547" s="41" t="s">
        <v>28</v>
      </c>
      <c r="H1547" s="42"/>
    </row>
    <row r="1548" spans="2:8" ht="18" customHeight="1" x14ac:dyDescent="0.25">
      <c r="B1548" s="40">
        <f>SUBTOTAL(3,C$4:C1548)</f>
        <v>1492</v>
      </c>
      <c r="C1548" s="41">
        <v>24117879</v>
      </c>
      <c r="D1548" s="41" t="s">
        <v>1995</v>
      </c>
      <c r="E1548" s="41" t="s">
        <v>33</v>
      </c>
      <c r="F1548" s="41" t="s">
        <v>1207</v>
      </c>
      <c r="G1548" s="41" t="s">
        <v>28</v>
      </c>
      <c r="H1548" s="42"/>
    </row>
    <row r="1549" spans="2:8" ht="18" hidden="1" customHeight="1" x14ac:dyDescent="0.25">
      <c r="B1549" s="40">
        <f>SUBTOTAL(3,C$4:C1549)</f>
        <v>1492</v>
      </c>
      <c r="C1549" s="41">
        <v>24114478</v>
      </c>
      <c r="D1549" s="41" t="s">
        <v>2058</v>
      </c>
      <c r="E1549" s="41" t="s">
        <v>33</v>
      </c>
      <c r="F1549" s="41" t="s">
        <v>1207</v>
      </c>
      <c r="G1549" s="41" t="s">
        <v>27</v>
      </c>
      <c r="H1549" s="42" t="s">
        <v>2059</v>
      </c>
    </row>
    <row r="1550" spans="2:8" ht="18" customHeight="1" x14ac:dyDescent="0.25">
      <c r="B1550" s="40">
        <f>SUBTOTAL(3,C$4:C1550)</f>
        <v>1493</v>
      </c>
      <c r="C1550" s="41">
        <v>24101849</v>
      </c>
      <c r="D1550" s="41" t="s">
        <v>1206</v>
      </c>
      <c r="E1550" s="41" t="s">
        <v>33</v>
      </c>
      <c r="F1550" s="41" t="s">
        <v>1207</v>
      </c>
      <c r="G1550" s="41" t="s">
        <v>28</v>
      </c>
      <c r="H1550" s="42"/>
    </row>
    <row r="1551" spans="2:8" ht="18" customHeight="1" x14ac:dyDescent="0.25">
      <c r="B1551" s="40">
        <f>SUBTOTAL(3,C$4:C1551)</f>
        <v>1494</v>
      </c>
      <c r="C1551" s="41">
        <v>24114694</v>
      </c>
      <c r="D1551" s="41" t="s">
        <v>2132</v>
      </c>
      <c r="E1551" s="41" t="s">
        <v>33</v>
      </c>
      <c r="F1551" s="41" t="s">
        <v>1207</v>
      </c>
      <c r="G1551" s="41" t="s">
        <v>28</v>
      </c>
      <c r="H1551" s="42"/>
    </row>
    <row r="1552" spans="2:8" ht="18" customHeight="1" x14ac:dyDescent="0.25">
      <c r="B1552" s="40">
        <f>SUBTOTAL(3,C$4:C1552)</f>
        <v>1495</v>
      </c>
      <c r="C1552" s="41">
        <v>24114231</v>
      </c>
      <c r="D1552" s="41" t="s">
        <v>2156</v>
      </c>
      <c r="E1552" s="41" t="s">
        <v>33</v>
      </c>
      <c r="F1552" s="41" t="s">
        <v>1207</v>
      </c>
      <c r="G1552" s="41" t="s">
        <v>28</v>
      </c>
      <c r="H1552" s="42"/>
    </row>
    <row r="1553" spans="2:8" ht="18" customHeight="1" x14ac:dyDescent="0.25">
      <c r="B1553" s="40">
        <f>SUBTOTAL(3,C$4:C1553)</f>
        <v>1496</v>
      </c>
      <c r="C1553" s="41">
        <v>24114754</v>
      </c>
      <c r="D1553" s="41" t="s">
        <v>2193</v>
      </c>
      <c r="E1553" s="41" t="s">
        <v>33</v>
      </c>
      <c r="F1553" s="41" t="s">
        <v>1207</v>
      </c>
      <c r="G1553" s="41" t="s">
        <v>28</v>
      </c>
      <c r="H1553" s="42"/>
    </row>
    <row r="1554" spans="2:8" ht="18" customHeight="1" x14ac:dyDescent="0.25">
      <c r="B1554" s="40">
        <f>SUBTOTAL(3,C$4:C1554)</f>
        <v>1497</v>
      </c>
      <c r="C1554" s="41">
        <v>24309369</v>
      </c>
      <c r="D1554" s="41" t="s">
        <v>2282</v>
      </c>
      <c r="E1554" s="41" t="s">
        <v>33</v>
      </c>
      <c r="F1554" s="41" t="s">
        <v>1207</v>
      </c>
      <c r="G1554" s="41" t="s">
        <v>28</v>
      </c>
      <c r="H1554" s="42"/>
    </row>
    <row r="1555" spans="2:8" ht="18" customHeight="1" x14ac:dyDescent="0.25">
      <c r="B1555" s="40">
        <f>SUBTOTAL(3,C$4:C1555)</f>
        <v>1498</v>
      </c>
      <c r="C1555" s="41">
        <v>24117642</v>
      </c>
      <c r="D1555" s="41" t="s">
        <v>2374</v>
      </c>
      <c r="E1555" s="41" t="s">
        <v>33</v>
      </c>
      <c r="F1555" s="41" t="s">
        <v>1207</v>
      </c>
      <c r="G1555" s="41" t="s">
        <v>28</v>
      </c>
      <c r="H1555" s="42"/>
    </row>
    <row r="1556" spans="2:8" ht="18" customHeight="1" x14ac:dyDescent="0.25">
      <c r="B1556" s="40">
        <f>SUBTOTAL(3,C$4:C1556)</f>
        <v>1499</v>
      </c>
      <c r="C1556" s="41">
        <v>24112661</v>
      </c>
      <c r="D1556" s="41" t="s">
        <v>2403</v>
      </c>
      <c r="E1556" s="41" t="s">
        <v>33</v>
      </c>
      <c r="F1556" s="41" t="s">
        <v>1207</v>
      </c>
      <c r="G1556" s="41" t="s">
        <v>28</v>
      </c>
      <c r="H1556" s="42"/>
    </row>
    <row r="1557" spans="2:8" ht="18" customHeight="1" x14ac:dyDescent="0.25">
      <c r="B1557" s="40">
        <f>SUBTOTAL(3,C$4:C1557)</f>
        <v>1500</v>
      </c>
      <c r="C1557" s="41">
        <v>24308862</v>
      </c>
      <c r="D1557" s="41" t="s">
        <v>2442</v>
      </c>
      <c r="E1557" s="41" t="s">
        <v>33</v>
      </c>
      <c r="F1557" s="41" t="s">
        <v>1207</v>
      </c>
      <c r="G1557" s="41" t="s">
        <v>28</v>
      </c>
      <c r="H1557" s="42"/>
    </row>
    <row r="1558" spans="2:8" ht="18" customHeight="1" x14ac:dyDescent="0.25">
      <c r="B1558" s="40">
        <f>SUBTOTAL(3,C$4:C1558)</f>
        <v>1501</v>
      </c>
      <c r="C1558" s="41">
        <v>24115091</v>
      </c>
      <c r="D1558" s="41" t="s">
        <v>2010</v>
      </c>
      <c r="E1558" s="41" t="s">
        <v>33</v>
      </c>
      <c r="F1558" s="41" t="s">
        <v>2011</v>
      </c>
      <c r="G1558" s="41" t="s">
        <v>28</v>
      </c>
      <c r="H1558" s="42"/>
    </row>
    <row r="1559" spans="2:8" ht="18" customHeight="1" x14ac:dyDescent="0.25">
      <c r="B1559" s="40">
        <f>SUBTOTAL(3,C$4:C1559)</f>
        <v>1502</v>
      </c>
      <c r="C1559" s="41">
        <v>24032192</v>
      </c>
      <c r="D1559" s="41" t="s">
        <v>1247</v>
      </c>
      <c r="E1559" s="41" t="s">
        <v>33</v>
      </c>
      <c r="F1559" s="41" t="s">
        <v>1248</v>
      </c>
      <c r="G1559" s="41" t="s">
        <v>24</v>
      </c>
      <c r="H1559" s="42"/>
    </row>
    <row r="1560" spans="2:8" ht="18" customHeight="1" x14ac:dyDescent="0.25">
      <c r="B1560" s="40">
        <f>SUBTOTAL(3,C$4:C1560)</f>
        <v>1503</v>
      </c>
      <c r="C1560" s="41">
        <v>24344458</v>
      </c>
      <c r="D1560" s="41" t="s">
        <v>2171</v>
      </c>
      <c r="E1560" s="41" t="s">
        <v>33</v>
      </c>
      <c r="F1560" s="41" t="s">
        <v>2172</v>
      </c>
      <c r="G1560" s="41" t="s">
        <v>28</v>
      </c>
      <c r="H1560" s="42"/>
    </row>
    <row r="1561" spans="2:8" ht="18" customHeight="1" x14ac:dyDescent="0.25">
      <c r="B1561" s="40">
        <f>SUBTOTAL(3,C$4:C1561)</f>
        <v>1504</v>
      </c>
      <c r="C1561" s="41">
        <v>24031182</v>
      </c>
      <c r="D1561" s="41" t="s">
        <v>1815</v>
      </c>
      <c r="E1561" s="41" t="s">
        <v>33</v>
      </c>
      <c r="F1561" s="41" t="s">
        <v>1816</v>
      </c>
      <c r="G1561" s="41" t="s">
        <v>28</v>
      </c>
      <c r="H1561" s="42"/>
    </row>
    <row r="1562" spans="2:8" ht="18" customHeight="1" x14ac:dyDescent="0.25">
      <c r="B1562" s="40">
        <f>SUBTOTAL(3,C$4:C1562)</f>
        <v>1505</v>
      </c>
      <c r="C1562" s="41">
        <v>24276011</v>
      </c>
      <c r="D1562" s="41" t="s">
        <v>1834</v>
      </c>
      <c r="E1562" s="41" t="s">
        <v>33</v>
      </c>
      <c r="F1562" s="41" t="s">
        <v>1835</v>
      </c>
      <c r="G1562" s="41" t="s">
        <v>28</v>
      </c>
      <c r="H1562" s="42"/>
    </row>
    <row r="1563" spans="2:8" ht="18" hidden="1" customHeight="1" x14ac:dyDescent="0.25">
      <c r="B1563" s="40">
        <f>SUBTOTAL(3,C$4:C1563)</f>
        <v>1505</v>
      </c>
      <c r="C1563" s="41">
        <v>24116366</v>
      </c>
      <c r="D1563" s="41" t="s">
        <v>2426</v>
      </c>
      <c r="E1563" s="41" t="s">
        <v>33</v>
      </c>
      <c r="F1563" s="41" t="s">
        <v>2427</v>
      </c>
      <c r="G1563" s="41" t="s">
        <v>27</v>
      </c>
      <c r="H1563" s="42" t="s">
        <v>2428</v>
      </c>
    </row>
    <row r="1564" spans="2:8" ht="18" hidden="1" customHeight="1" x14ac:dyDescent="0.25">
      <c r="B1564" s="40">
        <f>SUBTOTAL(3,C$4:C1564)</f>
        <v>1505</v>
      </c>
      <c r="C1564" s="41">
        <v>24089955</v>
      </c>
      <c r="D1564" s="41" t="s">
        <v>1769</v>
      </c>
      <c r="E1564" s="41" t="s">
        <v>33</v>
      </c>
      <c r="F1564" s="41" t="s">
        <v>1770</v>
      </c>
      <c r="G1564" s="41" t="s">
        <v>27</v>
      </c>
      <c r="H1564" s="42" t="s">
        <v>1771</v>
      </c>
    </row>
    <row r="1565" spans="2:8" ht="18" customHeight="1" x14ac:dyDescent="0.25">
      <c r="B1565" s="40">
        <f>SUBTOTAL(3,C$4:C1565)</f>
        <v>1506</v>
      </c>
      <c r="C1565" s="41">
        <v>24097801</v>
      </c>
      <c r="D1565" s="41" t="s">
        <v>1798</v>
      </c>
      <c r="E1565" s="41" t="s">
        <v>33</v>
      </c>
      <c r="F1565" s="41" t="s">
        <v>1202</v>
      </c>
      <c r="G1565" s="41" t="s">
        <v>28</v>
      </c>
      <c r="H1565" s="42"/>
    </row>
    <row r="1566" spans="2:8" ht="18" customHeight="1" x14ac:dyDescent="0.25">
      <c r="B1566" s="40">
        <f>SUBTOTAL(3,C$4:C1566)</f>
        <v>1507</v>
      </c>
      <c r="C1566" s="41">
        <v>24100714</v>
      </c>
      <c r="D1566" s="41" t="s">
        <v>1890</v>
      </c>
      <c r="E1566" s="41" t="s">
        <v>33</v>
      </c>
      <c r="F1566" s="41" t="s">
        <v>1202</v>
      </c>
      <c r="G1566" s="41" t="s">
        <v>28</v>
      </c>
      <c r="H1566" s="42"/>
    </row>
    <row r="1567" spans="2:8" ht="18" customHeight="1" x14ac:dyDescent="0.25">
      <c r="B1567" s="40">
        <f>SUBTOTAL(3,C$4:C1567)</f>
        <v>1508</v>
      </c>
      <c r="C1567" s="41">
        <v>24114802</v>
      </c>
      <c r="D1567" s="41" t="s">
        <v>1959</v>
      </c>
      <c r="E1567" s="41" t="s">
        <v>33</v>
      </c>
      <c r="F1567" s="41" t="s">
        <v>1202</v>
      </c>
      <c r="G1567" s="41" t="s">
        <v>28</v>
      </c>
      <c r="H1567" s="42"/>
    </row>
    <row r="1568" spans="2:8" ht="18" customHeight="1" x14ac:dyDescent="0.25">
      <c r="B1568" s="40">
        <f>SUBTOTAL(3,C$4:C1568)</f>
        <v>1509</v>
      </c>
      <c r="C1568" s="41">
        <v>24108724</v>
      </c>
      <c r="D1568" s="41" t="s">
        <v>2016</v>
      </c>
      <c r="E1568" s="41" t="s">
        <v>33</v>
      </c>
      <c r="F1568" s="41" t="s">
        <v>1202</v>
      </c>
      <c r="G1568" s="41" t="s">
        <v>28</v>
      </c>
      <c r="H1568" s="42"/>
    </row>
    <row r="1569" spans="2:8" ht="18" customHeight="1" x14ac:dyDescent="0.25">
      <c r="B1569" s="40">
        <f>SUBTOTAL(3,C$4:C1569)</f>
        <v>1510</v>
      </c>
      <c r="C1569" s="41">
        <v>24109247</v>
      </c>
      <c r="D1569" s="41" t="s">
        <v>1201</v>
      </c>
      <c r="E1569" s="41" t="s">
        <v>33</v>
      </c>
      <c r="F1569" s="41" t="s">
        <v>1202</v>
      </c>
      <c r="G1569" s="41" t="s">
        <v>28</v>
      </c>
      <c r="H1569" s="42"/>
    </row>
    <row r="1570" spans="2:8" ht="18" customHeight="1" x14ac:dyDescent="0.25">
      <c r="B1570" s="40">
        <f>SUBTOTAL(3,C$4:C1570)</f>
        <v>1511</v>
      </c>
      <c r="C1570" s="41">
        <v>24089866</v>
      </c>
      <c r="D1570" s="41" t="s">
        <v>2142</v>
      </c>
      <c r="E1570" s="41" t="s">
        <v>33</v>
      </c>
      <c r="F1570" s="41" t="s">
        <v>1202</v>
      </c>
      <c r="G1570" s="41" t="s">
        <v>28</v>
      </c>
      <c r="H1570" s="42"/>
    </row>
    <row r="1571" spans="2:8" ht="18" customHeight="1" x14ac:dyDescent="0.25">
      <c r="B1571" s="40">
        <f>SUBTOTAL(3,C$4:C1571)</f>
        <v>1512</v>
      </c>
      <c r="C1571" s="41">
        <v>24103537</v>
      </c>
      <c r="D1571" s="41" t="s">
        <v>2237</v>
      </c>
      <c r="E1571" s="41" t="s">
        <v>33</v>
      </c>
      <c r="F1571" s="41" t="s">
        <v>1202</v>
      </c>
      <c r="G1571" s="41" t="s">
        <v>28</v>
      </c>
      <c r="H1571" s="42"/>
    </row>
    <row r="1572" spans="2:8" ht="18" customHeight="1" x14ac:dyDescent="0.25">
      <c r="B1572" s="40">
        <f>SUBTOTAL(3,C$4:C1572)</f>
        <v>1513</v>
      </c>
      <c r="C1572" s="41">
        <v>24089982</v>
      </c>
      <c r="D1572" s="41" t="s">
        <v>2270</v>
      </c>
      <c r="E1572" s="41" t="s">
        <v>33</v>
      </c>
      <c r="F1572" s="41" t="s">
        <v>1202</v>
      </c>
      <c r="G1572" s="41" t="s">
        <v>28</v>
      </c>
      <c r="H1572" s="42"/>
    </row>
    <row r="1573" spans="2:8" ht="18" customHeight="1" x14ac:dyDescent="0.25">
      <c r="B1573" s="40">
        <f>SUBTOTAL(3,C$4:C1573)</f>
        <v>1514</v>
      </c>
      <c r="C1573" s="41">
        <v>24103120</v>
      </c>
      <c r="D1573" s="41" t="s">
        <v>2304</v>
      </c>
      <c r="E1573" s="41" t="s">
        <v>33</v>
      </c>
      <c r="F1573" s="41" t="s">
        <v>1202</v>
      </c>
      <c r="G1573" s="41" t="s">
        <v>28</v>
      </c>
      <c r="H1573" s="42"/>
    </row>
    <row r="1574" spans="2:8" ht="18" customHeight="1" x14ac:dyDescent="0.25">
      <c r="B1574" s="40">
        <f>SUBTOTAL(3,C$4:C1574)</f>
        <v>1515</v>
      </c>
      <c r="C1574" s="41">
        <v>24089145</v>
      </c>
      <c r="D1574" s="41" t="s">
        <v>2329</v>
      </c>
      <c r="E1574" s="41" t="s">
        <v>33</v>
      </c>
      <c r="F1574" s="41" t="s">
        <v>1202</v>
      </c>
      <c r="G1574" s="41" t="s">
        <v>28</v>
      </c>
      <c r="H1574" s="42"/>
    </row>
    <row r="1575" spans="2:8" ht="18" customHeight="1" x14ac:dyDescent="0.25">
      <c r="B1575" s="40">
        <f>SUBTOTAL(3,C$4:C1575)</f>
        <v>1516</v>
      </c>
      <c r="C1575" s="41">
        <v>24025748</v>
      </c>
      <c r="D1575" s="41" t="s">
        <v>1786</v>
      </c>
      <c r="E1575" s="41" t="s">
        <v>33</v>
      </c>
      <c r="F1575" s="41" t="s">
        <v>1147</v>
      </c>
      <c r="G1575" s="41" t="s">
        <v>28</v>
      </c>
      <c r="H1575" s="42"/>
    </row>
    <row r="1576" spans="2:8" ht="18" customHeight="1" x14ac:dyDescent="0.25">
      <c r="B1576" s="40">
        <f>SUBTOTAL(3,C$4:C1576)</f>
        <v>1517</v>
      </c>
      <c r="C1576" s="41">
        <v>24089668</v>
      </c>
      <c r="D1576" s="41" t="s">
        <v>1822</v>
      </c>
      <c r="E1576" s="41" t="s">
        <v>33</v>
      </c>
      <c r="F1576" s="41" t="s">
        <v>1147</v>
      </c>
      <c r="G1576" s="41" t="s">
        <v>28</v>
      </c>
      <c r="H1576" s="42"/>
    </row>
    <row r="1577" spans="2:8" ht="18" customHeight="1" x14ac:dyDescent="0.25">
      <c r="B1577" s="40">
        <f>SUBTOTAL(3,C$4:C1577)</f>
        <v>1518</v>
      </c>
      <c r="C1577" s="41">
        <v>24105420</v>
      </c>
      <c r="D1577" s="41" t="s">
        <v>1973</v>
      </c>
      <c r="E1577" s="41" t="s">
        <v>33</v>
      </c>
      <c r="F1577" s="41" t="s">
        <v>1147</v>
      </c>
      <c r="G1577" s="41" t="s">
        <v>28</v>
      </c>
      <c r="H1577" s="42"/>
    </row>
    <row r="1578" spans="2:8" ht="18" customHeight="1" x14ac:dyDescent="0.25">
      <c r="B1578" s="40">
        <f>SUBTOTAL(3,C$4:C1578)</f>
        <v>1519</v>
      </c>
      <c r="C1578" s="41">
        <v>24114831</v>
      </c>
      <c r="D1578" s="41" t="s">
        <v>2006</v>
      </c>
      <c r="E1578" s="41" t="s">
        <v>33</v>
      </c>
      <c r="F1578" s="41" t="s">
        <v>1147</v>
      </c>
      <c r="G1578" s="41" t="s">
        <v>28</v>
      </c>
      <c r="H1578" s="42"/>
    </row>
    <row r="1579" spans="2:8" ht="18" hidden="1" customHeight="1" x14ac:dyDescent="0.25">
      <c r="B1579" s="40">
        <f>SUBTOTAL(3,C$4:C1579)</f>
        <v>1519</v>
      </c>
      <c r="C1579" s="41">
        <v>24019284</v>
      </c>
      <c r="D1579" s="41" t="s">
        <v>1146</v>
      </c>
      <c r="E1579" s="41" t="s">
        <v>33</v>
      </c>
      <c r="F1579" s="41" t="s">
        <v>1147</v>
      </c>
      <c r="G1579" s="41" t="s">
        <v>27</v>
      </c>
      <c r="H1579" s="42" t="s">
        <v>1148</v>
      </c>
    </row>
    <row r="1580" spans="2:8" ht="18" customHeight="1" x14ac:dyDescent="0.25">
      <c r="B1580" s="40">
        <f>SUBTOTAL(3,C$4:C1580)</f>
        <v>1520</v>
      </c>
      <c r="C1580" s="41">
        <v>24088534</v>
      </c>
      <c r="D1580" s="41" t="s">
        <v>1244</v>
      </c>
      <c r="E1580" s="41" t="s">
        <v>33</v>
      </c>
      <c r="F1580" s="41" t="s">
        <v>1147</v>
      </c>
      <c r="G1580" s="41" t="s">
        <v>28</v>
      </c>
      <c r="H1580" s="42"/>
    </row>
    <row r="1581" spans="2:8" ht="18" customHeight="1" x14ac:dyDescent="0.25">
      <c r="B1581" s="40">
        <f>SUBTOTAL(3,C$4:C1581)</f>
        <v>1521</v>
      </c>
      <c r="C1581" s="41">
        <v>24100441</v>
      </c>
      <c r="D1581" s="41" t="s">
        <v>2195</v>
      </c>
      <c r="E1581" s="41" t="s">
        <v>33</v>
      </c>
      <c r="F1581" s="41" t="s">
        <v>1147</v>
      </c>
      <c r="G1581" s="41" t="s">
        <v>28</v>
      </c>
      <c r="H1581" s="42"/>
    </row>
    <row r="1582" spans="2:8" ht="18" customHeight="1" x14ac:dyDescent="0.25">
      <c r="B1582" s="40">
        <f>SUBTOTAL(3,C$4:C1582)</f>
        <v>1522</v>
      </c>
      <c r="C1582" s="41">
        <v>24107221</v>
      </c>
      <c r="D1582" s="41" t="s">
        <v>2229</v>
      </c>
      <c r="E1582" s="41" t="s">
        <v>33</v>
      </c>
      <c r="F1582" s="41" t="s">
        <v>1147</v>
      </c>
      <c r="G1582" s="41" t="s">
        <v>28</v>
      </c>
      <c r="H1582" s="42"/>
    </row>
    <row r="1583" spans="2:8" ht="18" customHeight="1" x14ac:dyDescent="0.25">
      <c r="B1583" s="40">
        <f>SUBTOTAL(3,C$4:C1583)</f>
        <v>1523</v>
      </c>
      <c r="C1583" s="41">
        <v>24107688</v>
      </c>
      <c r="D1583" s="41" t="s">
        <v>2276</v>
      </c>
      <c r="E1583" s="41" t="s">
        <v>33</v>
      </c>
      <c r="F1583" s="41" t="s">
        <v>1147</v>
      </c>
      <c r="G1583" s="41" t="s">
        <v>28</v>
      </c>
      <c r="H1583" s="42"/>
    </row>
    <row r="1584" spans="2:8" ht="18" customHeight="1" x14ac:dyDescent="0.25">
      <c r="B1584" s="40">
        <f>SUBTOTAL(3,C$4:C1584)</f>
        <v>1524</v>
      </c>
      <c r="C1584" s="41">
        <v>24098248</v>
      </c>
      <c r="D1584" s="41" t="s">
        <v>2294</v>
      </c>
      <c r="E1584" s="41" t="s">
        <v>33</v>
      </c>
      <c r="F1584" s="41" t="s">
        <v>1147</v>
      </c>
      <c r="G1584" s="41" t="s">
        <v>28</v>
      </c>
      <c r="H1584" s="42"/>
    </row>
    <row r="1585" spans="2:8" ht="18" customHeight="1" x14ac:dyDescent="0.25">
      <c r="B1585" s="40">
        <f>SUBTOTAL(3,C$4:C1585)</f>
        <v>1525</v>
      </c>
      <c r="C1585" s="41">
        <v>24106692</v>
      </c>
      <c r="D1585" s="41" t="s">
        <v>2366</v>
      </c>
      <c r="E1585" s="41" t="s">
        <v>33</v>
      </c>
      <c r="F1585" s="41" t="s">
        <v>1147</v>
      </c>
      <c r="G1585" s="41" t="s">
        <v>28</v>
      </c>
      <c r="H1585" s="42"/>
    </row>
    <row r="1586" spans="2:8" ht="18" customHeight="1" x14ac:dyDescent="0.25">
      <c r="B1586" s="40">
        <f>SUBTOTAL(3,C$4:C1586)</f>
        <v>1526</v>
      </c>
      <c r="C1586" s="41">
        <v>24214689</v>
      </c>
      <c r="D1586" s="41" t="s">
        <v>2445</v>
      </c>
      <c r="E1586" s="41" t="s">
        <v>33</v>
      </c>
      <c r="F1586" s="41" t="s">
        <v>1147</v>
      </c>
      <c r="G1586" s="41" t="s">
        <v>28</v>
      </c>
      <c r="H1586" s="42"/>
    </row>
    <row r="1587" spans="2:8" ht="18" customHeight="1" x14ac:dyDescent="0.25">
      <c r="B1587" s="40">
        <f>SUBTOTAL(3,C$4:C1587)</f>
        <v>1527</v>
      </c>
      <c r="C1587" s="41">
        <v>24088366</v>
      </c>
      <c r="D1587" s="41" t="s">
        <v>1765</v>
      </c>
      <c r="E1587" s="41" t="s">
        <v>33</v>
      </c>
      <c r="F1587" s="41" t="s">
        <v>1109</v>
      </c>
      <c r="G1587" s="41" t="s">
        <v>28</v>
      </c>
      <c r="H1587" s="42"/>
    </row>
    <row r="1588" spans="2:8" ht="18" customHeight="1" x14ac:dyDescent="0.25">
      <c r="B1588" s="40">
        <f>SUBTOTAL(3,C$4:C1588)</f>
        <v>1528</v>
      </c>
      <c r="C1588" s="41">
        <v>24089355</v>
      </c>
      <c r="D1588" s="41" t="s">
        <v>1783</v>
      </c>
      <c r="E1588" s="41" t="s">
        <v>33</v>
      </c>
      <c r="F1588" s="41" t="s">
        <v>1109</v>
      </c>
      <c r="G1588" s="41" t="s">
        <v>28</v>
      </c>
      <c r="H1588" s="42"/>
    </row>
    <row r="1589" spans="2:8" ht="18" customHeight="1" x14ac:dyDescent="0.25">
      <c r="B1589" s="40">
        <f>SUBTOTAL(3,C$4:C1589)</f>
        <v>1529</v>
      </c>
      <c r="C1589" s="41">
        <v>24102544</v>
      </c>
      <c r="D1589" s="41" t="s">
        <v>2002</v>
      </c>
      <c r="E1589" s="41" t="s">
        <v>33</v>
      </c>
      <c r="F1589" s="41" t="s">
        <v>1109</v>
      </c>
      <c r="G1589" s="41" t="s">
        <v>28</v>
      </c>
      <c r="H1589" s="42"/>
    </row>
    <row r="1590" spans="2:8" ht="18" customHeight="1" x14ac:dyDescent="0.25">
      <c r="B1590" s="40">
        <f>SUBTOTAL(3,C$4:C1590)</f>
        <v>1530</v>
      </c>
      <c r="C1590" s="41">
        <v>24103470</v>
      </c>
      <c r="D1590" s="41" t="s">
        <v>1108</v>
      </c>
      <c r="E1590" s="41" t="s">
        <v>33</v>
      </c>
      <c r="F1590" s="41" t="s">
        <v>1109</v>
      </c>
      <c r="G1590" s="41" t="s">
        <v>28</v>
      </c>
      <c r="H1590" s="42"/>
    </row>
    <row r="1591" spans="2:8" ht="18" customHeight="1" x14ac:dyDescent="0.25">
      <c r="B1591" s="40">
        <f>SUBTOTAL(3,C$4:C1591)</f>
        <v>1531</v>
      </c>
      <c r="C1591" s="41">
        <v>24102287</v>
      </c>
      <c r="D1591" s="41" t="s">
        <v>1120</v>
      </c>
      <c r="E1591" s="41" t="s">
        <v>33</v>
      </c>
      <c r="F1591" s="41" t="s">
        <v>1109</v>
      </c>
      <c r="G1591" s="41" t="s">
        <v>28</v>
      </c>
      <c r="H1591" s="42"/>
    </row>
    <row r="1592" spans="2:8" ht="18" customHeight="1" x14ac:dyDescent="0.25">
      <c r="B1592" s="40">
        <f>SUBTOTAL(3,C$4:C1592)</f>
        <v>1532</v>
      </c>
      <c r="C1592" s="41">
        <v>24100888</v>
      </c>
      <c r="D1592" s="41" t="s">
        <v>1158</v>
      </c>
      <c r="E1592" s="41" t="s">
        <v>33</v>
      </c>
      <c r="F1592" s="41" t="s">
        <v>1109</v>
      </c>
      <c r="G1592" s="41" t="s">
        <v>28</v>
      </c>
      <c r="H1592" s="42"/>
    </row>
    <row r="1593" spans="2:8" ht="18" customHeight="1" x14ac:dyDescent="0.25">
      <c r="B1593" s="40">
        <f>SUBTOTAL(3,C$4:C1593)</f>
        <v>1533</v>
      </c>
      <c r="C1593" s="41">
        <v>24105783</v>
      </c>
      <c r="D1593" s="41" t="s">
        <v>1184</v>
      </c>
      <c r="E1593" s="41" t="s">
        <v>33</v>
      </c>
      <c r="F1593" s="41" t="s">
        <v>1109</v>
      </c>
      <c r="G1593" s="41" t="s">
        <v>28</v>
      </c>
      <c r="H1593" s="42"/>
    </row>
    <row r="1594" spans="2:8" ht="18" customHeight="1" x14ac:dyDescent="0.25">
      <c r="B1594" s="40">
        <f>SUBTOTAL(3,C$4:C1594)</f>
        <v>1534</v>
      </c>
      <c r="C1594" s="41">
        <v>24088380</v>
      </c>
      <c r="D1594" s="41" t="s">
        <v>1270</v>
      </c>
      <c r="E1594" s="41" t="s">
        <v>33</v>
      </c>
      <c r="F1594" s="41" t="s">
        <v>1109</v>
      </c>
      <c r="G1594" s="41" t="s">
        <v>28</v>
      </c>
      <c r="H1594" s="42"/>
    </row>
    <row r="1595" spans="2:8" ht="18" customHeight="1" x14ac:dyDescent="0.25">
      <c r="B1595" s="40">
        <f>SUBTOTAL(3,C$4:C1595)</f>
        <v>1535</v>
      </c>
      <c r="C1595" s="41">
        <v>24034912</v>
      </c>
      <c r="D1595" s="41" t="s">
        <v>2164</v>
      </c>
      <c r="E1595" s="41" t="s">
        <v>33</v>
      </c>
      <c r="F1595" s="41" t="s">
        <v>1109</v>
      </c>
      <c r="G1595" s="41" t="s">
        <v>28</v>
      </c>
      <c r="H1595" s="42"/>
    </row>
    <row r="1596" spans="2:8" ht="18" customHeight="1" x14ac:dyDescent="0.25">
      <c r="B1596" s="40">
        <f>SUBTOTAL(3,C$4:C1596)</f>
        <v>1536</v>
      </c>
      <c r="C1596" s="41">
        <v>24088462</v>
      </c>
      <c r="D1596" s="41" t="s">
        <v>688</v>
      </c>
      <c r="E1596" s="41" t="s">
        <v>33</v>
      </c>
      <c r="F1596" s="41" t="s">
        <v>1109</v>
      </c>
      <c r="G1596" s="41" t="s">
        <v>28</v>
      </c>
      <c r="H1596" s="42"/>
    </row>
    <row r="1597" spans="2:8" ht="18" customHeight="1" x14ac:dyDescent="0.25">
      <c r="B1597" s="40">
        <f>SUBTOTAL(3,C$4:C1597)</f>
        <v>1537</v>
      </c>
      <c r="C1597" s="41">
        <v>24106494</v>
      </c>
      <c r="D1597" s="41" t="s">
        <v>2277</v>
      </c>
      <c r="E1597" s="41" t="s">
        <v>33</v>
      </c>
      <c r="F1597" s="41" t="s">
        <v>1109</v>
      </c>
      <c r="G1597" s="41" t="s">
        <v>28</v>
      </c>
      <c r="H1597" s="42"/>
    </row>
    <row r="1598" spans="2:8" ht="18" customHeight="1" x14ac:dyDescent="0.25">
      <c r="B1598" s="40">
        <f>SUBTOTAL(3,C$4:C1598)</f>
        <v>1538</v>
      </c>
      <c r="C1598" s="41">
        <v>24089661</v>
      </c>
      <c r="D1598" s="41" t="s">
        <v>2290</v>
      </c>
      <c r="E1598" s="41" t="s">
        <v>33</v>
      </c>
      <c r="F1598" s="41" t="s">
        <v>1109</v>
      </c>
      <c r="G1598" s="41" t="s">
        <v>28</v>
      </c>
      <c r="H1598" s="42"/>
    </row>
    <row r="1599" spans="2:8" ht="18" customHeight="1" x14ac:dyDescent="0.25">
      <c r="B1599" s="40">
        <f>SUBTOTAL(3,C$4:C1599)</f>
        <v>1539</v>
      </c>
      <c r="C1599" s="41">
        <v>24088357</v>
      </c>
      <c r="D1599" s="41" t="s">
        <v>2314</v>
      </c>
      <c r="E1599" s="41" t="s">
        <v>33</v>
      </c>
      <c r="F1599" s="41" t="s">
        <v>1109</v>
      </c>
      <c r="G1599" s="41" t="s">
        <v>28</v>
      </c>
      <c r="H1599" s="42"/>
    </row>
    <row r="1600" spans="2:8" ht="18" customHeight="1" x14ac:dyDescent="0.25">
      <c r="B1600" s="40">
        <f>SUBTOTAL(3,C$4:C1600)</f>
        <v>1540</v>
      </c>
      <c r="C1600" s="41">
        <v>24101825</v>
      </c>
      <c r="D1600" s="41" t="s">
        <v>2327</v>
      </c>
      <c r="E1600" s="41" t="s">
        <v>33</v>
      </c>
      <c r="F1600" s="41" t="s">
        <v>1109</v>
      </c>
      <c r="G1600" s="41" t="s">
        <v>28</v>
      </c>
      <c r="H1600" s="42"/>
    </row>
    <row r="1601" spans="2:8" ht="18" customHeight="1" x14ac:dyDescent="0.25">
      <c r="B1601" s="40">
        <f>SUBTOTAL(3,C$4:C1601)</f>
        <v>1541</v>
      </c>
      <c r="C1601" s="41">
        <v>24096917</v>
      </c>
      <c r="D1601" s="41" t="s">
        <v>2420</v>
      </c>
      <c r="E1601" s="41" t="s">
        <v>33</v>
      </c>
      <c r="F1601" s="41" t="s">
        <v>1109</v>
      </c>
      <c r="G1601" s="41" t="s">
        <v>28</v>
      </c>
      <c r="H1601" s="42"/>
    </row>
    <row r="1602" spans="2:8" ht="18" customHeight="1" x14ac:dyDescent="0.25">
      <c r="B1602" s="40">
        <f>SUBTOTAL(3,C$4:C1602)</f>
        <v>1542</v>
      </c>
      <c r="C1602" s="41">
        <v>24089818</v>
      </c>
      <c r="D1602" s="41" t="s">
        <v>1811</v>
      </c>
      <c r="E1602" s="41" t="s">
        <v>33</v>
      </c>
      <c r="F1602" s="41" t="s">
        <v>1204</v>
      </c>
      <c r="G1602" s="41" t="s">
        <v>28</v>
      </c>
      <c r="H1602" s="42" t="s">
        <v>1812</v>
      </c>
    </row>
    <row r="1603" spans="2:8" ht="18" customHeight="1" x14ac:dyDescent="0.25">
      <c r="B1603" s="40">
        <f>SUBTOTAL(3,C$4:C1603)</f>
        <v>1543</v>
      </c>
      <c r="C1603" s="41">
        <v>24106911</v>
      </c>
      <c r="D1603" s="41" t="s">
        <v>1983</v>
      </c>
      <c r="E1603" s="41" t="s">
        <v>33</v>
      </c>
      <c r="F1603" s="41" t="s">
        <v>1204</v>
      </c>
      <c r="G1603" s="41" t="s">
        <v>28</v>
      </c>
      <c r="H1603" s="42"/>
    </row>
    <row r="1604" spans="2:8" ht="18" customHeight="1" x14ac:dyDescent="0.25">
      <c r="B1604" s="40">
        <f>SUBTOTAL(3,C$4:C1604)</f>
        <v>1544</v>
      </c>
      <c r="C1604" s="41">
        <v>24089026</v>
      </c>
      <c r="D1604" s="41" t="s">
        <v>2015</v>
      </c>
      <c r="E1604" s="41" t="s">
        <v>33</v>
      </c>
      <c r="F1604" s="41" t="s">
        <v>1204</v>
      </c>
      <c r="G1604" s="41" t="s">
        <v>28</v>
      </c>
      <c r="H1604" s="42"/>
    </row>
    <row r="1605" spans="2:8" ht="18" customHeight="1" x14ac:dyDescent="0.25">
      <c r="B1605" s="40">
        <f>SUBTOTAL(3,C$4:C1605)</f>
        <v>1545</v>
      </c>
      <c r="C1605" s="41">
        <v>24114798</v>
      </c>
      <c r="D1605" s="41" t="s">
        <v>2071</v>
      </c>
      <c r="E1605" s="41" t="s">
        <v>33</v>
      </c>
      <c r="F1605" s="41" t="s">
        <v>1204</v>
      </c>
      <c r="G1605" s="41" t="s">
        <v>28</v>
      </c>
      <c r="H1605" s="42"/>
    </row>
    <row r="1606" spans="2:8" ht="18" hidden="1" customHeight="1" x14ac:dyDescent="0.25">
      <c r="B1606" s="40">
        <f>SUBTOTAL(3,C$4:C1606)</f>
        <v>1545</v>
      </c>
      <c r="C1606" s="41">
        <v>24106756</v>
      </c>
      <c r="D1606" s="41" t="s">
        <v>1203</v>
      </c>
      <c r="E1606" s="41" t="s">
        <v>33</v>
      </c>
      <c r="F1606" s="41" t="s">
        <v>1204</v>
      </c>
      <c r="G1606" s="41" t="s">
        <v>27</v>
      </c>
      <c r="H1606" s="42" t="s">
        <v>1205</v>
      </c>
    </row>
    <row r="1607" spans="2:8" ht="18" customHeight="1" x14ac:dyDescent="0.25">
      <c r="B1607" s="40">
        <f>SUBTOTAL(3,C$4:C1607)</f>
        <v>1546</v>
      </c>
      <c r="C1607" s="41">
        <v>24104997</v>
      </c>
      <c r="D1607" s="41" t="s">
        <v>1253</v>
      </c>
      <c r="E1607" s="41" t="s">
        <v>33</v>
      </c>
      <c r="F1607" s="41" t="s">
        <v>1204</v>
      </c>
      <c r="G1607" s="41" t="s">
        <v>28</v>
      </c>
      <c r="H1607" s="42"/>
    </row>
    <row r="1608" spans="2:8" ht="18" customHeight="1" x14ac:dyDescent="0.25">
      <c r="B1608" s="40">
        <f>SUBTOTAL(3,C$4:C1608)</f>
        <v>1547</v>
      </c>
      <c r="C1608" s="41">
        <v>24098381</v>
      </c>
      <c r="D1608" s="41" t="s">
        <v>1263</v>
      </c>
      <c r="E1608" s="41" t="s">
        <v>33</v>
      </c>
      <c r="F1608" s="41" t="s">
        <v>1204</v>
      </c>
      <c r="G1608" s="41" t="s">
        <v>28</v>
      </c>
      <c r="H1608" s="42"/>
    </row>
    <row r="1609" spans="2:8" ht="18" customHeight="1" x14ac:dyDescent="0.25">
      <c r="B1609" s="40">
        <f>SUBTOTAL(3,C$4:C1609)</f>
        <v>1548</v>
      </c>
      <c r="C1609" s="41">
        <v>24105037</v>
      </c>
      <c r="D1609" s="41" t="s">
        <v>1264</v>
      </c>
      <c r="E1609" s="41" t="s">
        <v>33</v>
      </c>
      <c r="F1609" s="41" t="s">
        <v>1204</v>
      </c>
      <c r="G1609" s="41" t="s">
        <v>28</v>
      </c>
      <c r="H1609" s="42"/>
    </row>
    <row r="1610" spans="2:8" ht="18" customHeight="1" x14ac:dyDescent="0.25">
      <c r="B1610" s="40">
        <f>SUBTOTAL(3,C$4:C1610)</f>
        <v>1549</v>
      </c>
      <c r="C1610" s="41">
        <v>24103595</v>
      </c>
      <c r="D1610" s="41" t="s">
        <v>2192</v>
      </c>
      <c r="E1610" s="41" t="s">
        <v>33</v>
      </c>
      <c r="F1610" s="41" t="s">
        <v>1204</v>
      </c>
      <c r="G1610" s="41" t="s">
        <v>28</v>
      </c>
      <c r="H1610" s="42"/>
    </row>
    <row r="1611" spans="2:8" ht="18" customHeight="1" x14ac:dyDescent="0.25">
      <c r="B1611" s="40">
        <f>SUBTOTAL(3,C$4:C1611)</f>
        <v>1550</v>
      </c>
      <c r="C1611" s="41">
        <v>24031289</v>
      </c>
      <c r="D1611" s="41" t="s">
        <v>2205</v>
      </c>
      <c r="E1611" s="41" t="s">
        <v>33</v>
      </c>
      <c r="F1611" s="41" t="s">
        <v>1204</v>
      </c>
      <c r="G1611" s="41" t="s">
        <v>28</v>
      </c>
      <c r="H1611" s="42"/>
    </row>
    <row r="1612" spans="2:8" ht="18" customHeight="1" x14ac:dyDescent="0.25">
      <c r="B1612" s="40">
        <f>SUBTOTAL(3,C$4:C1612)</f>
        <v>1551</v>
      </c>
      <c r="C1612" s="41">
        <v>24103093</v>
      </c>
      <c r="D1612" s="41" t="s">
        <v>2215</v>
      </c>
      <c r="E1612" s="41" t="s">
        <v>33</v>
      </c>
      <c r="F1612" s="41" t="s">
        <v>1204</v>
      </c>
      <c r="G1612" s="41" t="s">
        <v>28</v>
      </c>
      <c r="H1612" s="42"/>
    </row>
    <row r="1613" spans="2:8" ht="18" customHeight="1" x14ac:dyDescent="0.25">
      <c r="B1613" s="40">
        <f>SUBTOTAL(3,C$4:C1613)</f>
        <v>1552</v>
      </c>
      <c r="C1613" s="41">
        <v>24088729</v>
      </c>
      <c r="D1613" s="41" t="s">
        <v>2253</v>
      </c>
      <c r="E1613" s="41" t="s">
        <v>33</v>
      </c>
      <c r="F1613" s="41" t="s">
        <v>1204</v>
      </c>
      <c r="G1613" s="41" t="s">
        <v>28</v>
      </c>
      <c r="H1613" s="42"/>
    </row>
    <row r="1614" spans="2:8" ht="18" customHeight="1" x14ac:dyDescent="0.25">
      <c r="B1614" s="40">
        <f>SUBTOTAL(3,C$4:C1614)</f>
        <v>1553</v>
      </c>
      <c r="C1614" s="41">
        <v>24090305</v>
      </c>
      <c r="D1614" s="41" t="s">
        <v>2361</v>
      </c>
      <c r="E1614" s="41" t="s">
        <v>33</v>
      </c>
      <c r="F1614" s="41" t="s">
        <v>1204</v>
      </c>
      <c r="G1614" s="41" t="s">
        <v>28</v>
      </c>
      <c r="H1614" s="42"/>
    </row>
    <row r="1615" spans="2:8" ht="18" customHeight="1" x14ac:dyDescent="0.25">
      <c r="B1615" s="40">
        <f>SUBTOTAL(3,C$4:C1615)</f>
        <v>1554</v>
      </c>
      <c r="C1615" s="41">
        <v>24096265</v>
      </c>
      <c r="D1615" s="41" t="s">
        <v>2391</v>
      </c>
      <c r="E1615" s="41" t="s">
        <v>33</v>
      </c>
      <c r="F1615" s="41" t="s">
        <v>1204</v>
      </c>
      <c r="G1615" s="41" t="s">
        <v>28</v>
      </c>
      <c r="H1615" s="42"/>
    </row>
    <row r="1616" spans="2:8" ht="18" customHeight="1" x14ac:dyDescent="0.25">
      <c r="B1616" s="40">
        <f>SUBTOTAL(3,C$4:C1616)</f>
        <v>1555</v>
      </c>
      <c r="C1616" s="41">
        <v>24020167</v>
      </c>
      <c r="D1616" s="41" t="s">
        <v>2392</v>
      </c>
      <c r="E1616" s="41" t="s">
        <v>33</v>
      </c>
      <c r="F1616" s="41" t="s">
        <v>1204</v>
      </c>
      <c r="G1616" s="41" t="s">
        <v>28</v>
      </c>
      <c r="H1616" s="42"/>
    </row>
    <row r="1617" spans="2:8" ht="18" customHeight="1" x14ac:dyDescent="0.25">
      <c r="B1617" s="40">
        <f>SUBTOTAL(3,C$4:C1617)</f>
        <v>1556</v>
      </c>
      <c r="C1617" s="41">
        <v>24099102</v>
      </c>
      <c r="D1617" s="41" t="s">
        <v>2310</v>
      </c>
      <c r="E1617" s="41" t="s">
        <v>33</v>
      </c>
      <c r="F1617" s="41" t="s">
        <v>2311</v>
      </c>
      <c r="G1617" s="41" t="s">
        <v>28</v>
      </c>
      <c r="H1617" s="42"/>
    </row>
    <row r="1618" spans="2:8" ht="18" customHeight="1" x14ac:dyDescent="0.25">
      <c r="B1618" s="40">
        <f>SUBTOTAL(3,C$4:C1618)</f>
        <v>1557</v>
      </c>
      <c r="C1618" s="41">
        <v>24036225</v>
      </c>
      <c r="D1618" s="41" t="s">
        <v>2318</v>
      </c>
      <c r="E1618" s="41" t="s">
        <v>33</v>
      </c>
      <c r="F1618" s="41" t="s">
        <v>2319</v>
      </c>
      <c r="G1618" s="41" t="s">
        <v>24</v>
      </c>
      <c r="H1618" s="42"/>
    </row>
    <row r="1619" spans="2:8" ht="18" customHeight="1" x14ac:dyDescent="0.25">
      <c r="B1619" s="40">
        <f>SUBTOTAL(3,C$4:C1619)</f>
        <v>1558</v>
      </c>
      <c r="C1619" s="41">
        <v>2411453</v>
      </c>
      <c r="D1619" s="41" t="s">
        <v>2242</v>
      </c>
      <c r="E1619" s="41" t="s">
        <v>33</v>
      </c>
      <c r="F1619" s="41" t="s">
        <v>2243</v>
      </c>
      <c r="G1619" s="41" t="s">
        <v>28</v>
      </c>
      <c r="H1619" s="42"/>
    </row>
    <row r="1620" spans="2:8" ht="18" customHeight="1" x14ac:dyDescent="0.25">
      <c r="B1620" s="40">
        <f>SUBTOTAL(3,C$4:C1620)</f>
        <v>1559</v>
      </c>
      <c r="C1620" s="41">
        <v>24104699</v>
      </c>
      <c r="D1620" s="41" t="s">
        <v>2395</v>
      </c>
      <c r="E1620" s="41" t="s">
        <v>33</v>
      </c>
      <c r="F1620" s="41" t="s">
        <v>2243</v>
      </c>
      <c r="G1620" s="41" t="s">
        <v>28</v>
      </c>
      <c r="H1620" s="42"/>
    </row>
    <row r="1621" spans="2:8" ht="18" hidden="1" customHeight="1" x14ac:dyDescent="0.25">
      <c r="B1621" s="40">
        <f>SUBTOTAL(3,C$4:C1621)</f>
        <v>1559</v>
      </c>
      <c r="C1621" s="41">
        <v>24090002</v>
      </c>
      <c r="D1621" s="41" t="s">
        <v>2440</v>
      </c>
      <c r="E1621" s="41" t="s">
        <v>33</v>
      </c>
      <c r="F1621" s="41" t="s">
        <v>2441</v>
      </c>
      <c r="G1621" s="41" t="s">
        <v>27</v>
      </c>
      <c r="H1621" s="42"/>
    </row>
    <row r="1622" spans="2:8" ht="18" customHeight="1" x14ac:dyDescent="0.25">
      <c r="B1622" s="40">
        <f>SUBTOTAL(3,C$4:C1622)</f>
        <v>1560</v>
      </c>
      <c r="C1622" s="41">
        <v>24326796</v>
      </c>
      <c r="D1622" s="41" t="s">
        <v>1772</v>
      </c>
      <c r="E1622" s="41" t="s">
        <v>33</v>
      </c>
      <c r="F1622" s="41" t="s">
        <v>1118</v>
      </c>
      <c r="G1622" s="41" t="s">
        <v>28</v>
      </c>
      <c r="H1622" s="42"/>
    </row>
    <row r="1623" spans="2:8" ht="18" customHeight="1" x14ac:dyDescent="0.25">
      <c r="B1623" s="40">
        <f>SUBTOTAL(3,C$4:C1623)</f>
        <v>1561</v>
      </c>
      <c r="C1623" s="41">
        <v>24117629</v>
      </c>
      <c r="D1623" s="41" t="s">
        <v>1774</v>
      </c>
      <c r="E1623" s="41" t="s">
        <v>33</v>
      </c>
      <c r="F1623" s="41" t="s">
        <v>1118</v>
      </c>
      <c r="G1623" s="41" t="s">
        <v>28</v>
      </c>
      <c r="H1623" s="42"/>
    </row>
    <row r="1624" spans="2:8" ht="18" customHeight="1" x14ac:dyDescent="0.25">
      <c r="B1624" s="40">
        <f>SUBTOTAL(3,C$4:C1624)</f>
        <v>1562</v>
      </c>
      <c r="C1624" s="41">
        <v>24110311</v>
      </c>
      <c r="D1624" s="41" t="s">
        <v>1806</v>
      </c>
      <c r="E1624" s="41" t="s">
        <v>33</v>
      </c>
      <c r="F1624" s="41" t="s">
        <v>1118</v>
      </c>
      <c r="G1624" s="41" t="s">
        <v>28</v>
      </c>
      <c r="H1624" s="42"/>
    </row>
    <row r="1625" spans="2:8" ht="18" customHeight="1" x14ac:dyDescent="0.25">
      <c r="B1625" s="40">
        <f>SUBTOTAL(3,C$4:C1625)</f>
        <v>1563</v>
      </c>
      <c r="C1625" s="41">
        <v>24270707</v>
      </c>
      <c r="D1625" s="41" t="s">
        <v>1814</v>
      </c>
      <c r="E1625" s="41" t="s">
        <v>33</v>
      </c>
      <c r="F1625" s="41" t="s">
        <v>1118</v>
      </c>
      <c r="G1625" s="41" t="s">
        <v>28</v>
      </c>
      <c r="H1625" s="42"/>
    </row>
    <row r="1626" spans="2:8" ht="18" customHeight="1" x14ac:dyDescent="0.25">
      <c r="B1626" s="40">
        <f>SUBTOTAL(3,C$4:C1626)</f>
        <v>1564</v>
      </c>
      <c r="C1626" s="41">
        <v>24104345</v>
      </c>
      <c r="D1626" s="41" t="s">
        <v>1832</v>
      </c>
      <c r="E1626" s="41" t="s">
        <v>33</v>
      </c>
      <c r="F1626" s="41" t="s">
        <v>1118</v>
      </c>
      <c r="G1626" s="41" t="s">
        <v>28</v>
      </c>
      <c r="H1626" s="42"/>
    </row>
    <row r="1627" spans="2:8" ht="18" customHeight="1" x14ac:dyDescent="0.25">
      <c r="B1627" s="40">
        <f>SUBTOTAL(3,C$4:C1627)</f>
        <v>1565</v>
      </c>
      <c r="C1627" s="41">
        <v>24292020</v>
      </c>
      <c r="D1627" s="41" t="s">
        <v>1857</v>
      </c>
      <c r="E1627" s="41" t="s">
        <v>33</v>
      </c>
      <c r="F1627" s="41" t="s">
        <v>1118</v>
      </c>
      <c r="G1627" s="41" t="s">
        <v>28</v>
      </c>
      <c r="H1627" s="42"/>
    </row>
    <row r="1628" spans="2:8" ht="18" customHeight="1" x14ac:dyDescent="0.25">
      <c r="B1628" s="40">
        <f>SUBTOTAL(3,C$4:C1628)</f>
        <v>1566</v>
      </c>
      <c r="C1628" s="41">
        <v>24106661</v>
      </c>
      <c r="D1628" s="41" t="s">
        <v>1870</v>
      </c>
      <c r="E1628" s="41" t="s">
        <v>33</v>
      </c>
      <c r="F1628" s="41" t="s">
        <v>1118</v>
      </c>
      <c r="G1628" s="41" t="s">
        <v>28</v>
      </c>
      <c r="H1628" s="42"/>
    </row>
    <row r="1629" spans="2:8" ht="18" customHeight="1" x14ac:dyDescent="0.25">
      <c r="B1629" s="40">
        <f>SUBTOTAL(3,C$4:C1629)</f>
        <v>1567</v>
      </c>
      <c r="C1629" s="41">
        <v>24090081</v>
      </c>
      <c r="D1629" s="41" t="s">
        <v>1880</v>
      </c>
      <c r="E1629" s="41" t="s">
        <v>33</v>
      </c>
      <c r="F1629" s="41" t="s">
        <v>1118</v>
      </c>
      <c r="G1629" s="41" t="s">
        <v>28</v>
      </c>
      <c r="H1629" s="42"/>
    </row>
    <row r="1630" spans="2:8" ht="18" customHeight="1" x14ac:dyDescent="0.25">
      <c r="B1630" s="40">
        <f>SUBTOTAL(3,C$4:C1630)</f>
        <v>1568</v>
      </c>
      <c r="C1630" s="41">
        <v>24089961</v>
      </c>
      <c r="D1630" s="41" t="s">
        <v>1898</v>
      </c>
      <c r="E1630" s="41" t="s">
        <v>33</v>
      </c>
      <c r="F1630" s="41" t="s">
        <v>1118</v>
      </c>
      <c r="G1630" s="41" t="s">
        <v>28</v>
      </c>
      <c r="H1630" s="42"/>
    </row>
    <row r="1631" spans="2:8" ht="18" customHeight="1" x14ac:dyDescent="0.25">
      <c r="B1631" s="40">
        <f>SUBTOTAL(3,C$4:C1631)</f>
        <v>1569</v>
      </c>
      <c r="C1631" s="41">
        <v>24106918</v>
      </c>
      <c r="D1631" s="41" t="s">
        <v>1899</v>
      </c>
      <c r="E1631" s="41" t="s">
        <v>33</v>
      </c>
      <c r="F1631" s="41" t="s">
        <v>1118</v>
      </c>
      <c r="G1631" s="41" t="s">
        <v>28</v>
      </c>
      <c r="H1631" s="42"/>
    </row>
    <row r="1632" spans="2:8" ht="18" hidden="1" customHeight="1" x14ac:dyDescent="0.25">
      <c r="B1632" s="40">
        <f>SUBTOTAL(3,C$4:C1632)</f>
        <v>1569</v>
      </c>
      <c r="C1632" s="41">
        <v>24114271</v>
      </c>
      <c r="D1632" s="41" t="s">
        <v>1902</v>
      </c>
      <c r="E1632" s="41" t="s">
        <v>33</v>
      </c>
      <c r="F1632" s="41" t="s">
        <v>1118</v>
      </c>
      <c r="G1632" s="41" t="s">
        <v>27</v>
      </c>
      <c r="H1632" s="42"/>
    </row>
    <row r="1633" spans="2:8" ht="18" customHeight="1" x14ac:dyDescent="0.25">
      <c r="B1633" s="40">
        <f>SUBTOTAL(3,C$4:C1633)</f>
        <v>1570</v>
      </c>
      <c r="C1633" s="41">
        <v>24114888</v>
      </c>
      <c r="D1633" s="41" t="s">
        <v>1905</v>
      </c>
      <c r="E1633" s="41" t="s">
        <v>33</v>
      </c>
      <c r="F1633" s="41" t="s">
        <v>1118</v>
      </c>
      <c r="G1633" s="41" t="s">
        <v>28</v>
      </c>
      <c r="H1633" s="42"/>
    </row>
    <row r="1634" spans="2:8" ht="18" customHeight="1" x14ac:dyDescent="0.25">
      <c r="B1634" s="40">
        <f>SUBTOTAL(3,C$4:C1634)</f>
        <v>1571</v>
      </c>
      <c r="C1634" s="41">
        <v>24115973</v>
      </c>
      <c r="D1634" s="41" t="s">
        <v>1912</v>
      </c>
      <c r="E1634" s="41" t="s">
        <v>33</v>
      </c>
      <c r="F1634" s="41" t="s">
        <v>1118</v>
      </c>
      <c r="G1634" s="41" t="s">
        <v>28</v>
      </c>
      <c r="H1634" s="42"/>
    </row>
    <row r="1635" spans="2:8" ht="18" customHeight="1" x14ac:dyDescent="0.25">
      <c r="B1635" s="40">
        <f>SUBTOTAL(3,C$4:C1635)</f>
        <v>1572</v>
      </c>
      <c r="C1635" s="41">
        <v>24089367</v>
      </c>
      <c r="D1635" s="41" t="s">
        <v>1917</v>
      </c>
      <c r="E1635" s="41" t="s">
        <v>33</v>
      </c>
      <c r="F1635" s="41" t="s">
        <v>1118</v>
      </c>
      <c r="G1635" s="41" t="s">
        <v>28</v>
      </c>
      <c r="H1635" s="42"/>
    </row>
    <row r="1636" spans="2:8" ht="18" customHeight="1" x14ac:dyDescent="0.25">
      <c r="B1636" s="40">
        <f>SUBTOTAL(3,C$4:C1636)</f>
        <v>1573</v>
      </c>
      <c r="C1636" s="41">
        <v>24104805</v>
      </c>
      <c r="D1636" s="41" t="s">
        <v>1919</v>
      </c>
      <c r="E1636" s="41" t="s">
        <v>33</v>
      </c>
      <c r="F1636" s="41" t="s">
        <v>1118</v>
      </c>
      <c r="G1636" s="41" t="s">
        <v>28</v>
      </c>
      <c r="H1636" s="42"/>
    </row>
    <row r="1637" spans="2:8" ht="18" customHeight="1" x14ac:dyDescent="0.25">
      <c r="B1637" s="40">
        <f>SUBTOTAL(3,C$4:C1637)</f>
        <v>1574</v>
      </c>
      <c r="C1637" s="41">
        <v>24105897</v>
      </c>
      <c r="D1637" s="41" t="s">
        <v>1991</v>
      </c>
      <c r="E1637" s="41" t="s">
        <v>33</v>
      </c>
      <c r="F1637" s="41" t="s">
        <v>1118</v>
      </c>
      <c r="G1637" s="41" t="s">
        <v>28</v>
      </c>
      <c r="H1637" s="42"/>
    </row>
    <row r="1638" spans="2:8" ht="18" customHeight="1" x14ac:dyDescent="0.25">
      <c r="B1638" s="40">
        <f>SUBTOTAL(3,C$4:C1638)</f>
        <v>1575</v>
      </c>
      <c r="C1638" s="41">
        <v>24116908</v>
      </c>
      <c r="D1638" s="41" t="s">
        <v>1997</v>
      </c>
      <c r="E1638" s="41" t="s">
        <v>33</v>
      </c>
      <c r="F1638" s="41" t="s">
        <v>1118</v>
      </c>
      <c r="G1638" s="41" t="s">
        <v>28</v>
      </c>
      <c r="H1638" s="42"/>
    </row>
    <row r="1639" spans="2:8" ht="18" customHeight="1" x14ac:dyDescent="0.25">
      <c r="B1639" s="40">
        <f>SUBTOTAL(3,C$4:C1639)</f>
        <v>1576</v>
      </c>
      <c r="C1639" s="41">
        <v>24099251</v>
      </c>
      <c r="D1639" s="41" t="s">
        <v>2001</v>
      </c>
      <c r="E1639" s="41" t="s">
        <v>33</v>
      </c>
      <c r="F1639" s="41" t="s">
        <v>1118</v>
      </c>
      <c r="G1639" s="41" t="s">
        <v>28</v>
      </c>
      <c r="H1639" s="42"/>
    </row>
    <row r="1640" spans="2:8" ht="18" customHeight="1" x14ac:dyDescent="0.25">
      <c r="B1640" s="40">
        <f>SUBTOTAL(3,C$4:C1640)</f>
        <v>1577</v>
      </c>
      <c r="C1640" s="41">
        <v>24022813</v>
      </c>
      <c r="D1640" s="41" t="s">
        <v>2021</v>
      </c>
      <c r="E1640" s="41" t="s">
        <v>33</v>
      </c>
      <c r="F1640" s="41" t="s">
        <v>1118</v>
      </c>
      <c r="G1640" s="41" t="s">
        <v>28</v>
      </c>
      <c r="H1640" s="42"/>
    </row>
    <row r="1641" spans="2:8" ht="18" customHeight="1" x14ac:dyDescent="0.25">
      <c r="B1641" s="40">
        <f>SUBTOTAL(3,C$4:C1641)</f>
        <v>1578</v>
      </c>
      <c r="C1641" s="41">
        <v>24089849</v>
      </c>
      <c r="D1641" s="41" t="s">
        <v>2054</v>
      </c>
      <c r="E1641" s="41" t="s">
        <v>33</v>
      </c>
      <c r="F1641" s="41" t="s">
        <v>1118</v>
      </c>
      <c r="G1641" s="41" t="s">
        <v>28</v>
      </c>
      <c r="H1641" s="42"/>
    </row>
    <row r="1642" spans="2:8" ht="18" customHeight="1" x14ac:dyDescent="0.25">
      <c r="B1642" s="40">
        <f>SUBTOTAL(3,C$4:C1642)</f>
        <v>1579</v>
      </c>
      <c r="C1642" s="41">
        <v>24106457</v>
      </c>
      <c r="D1642" s="41" t="s">
        <v>2056</v>
      </c>
      <c r="E1642" s="41" t="s">
        <v>33</v>
      </c>
      <c r="F1642" s="41" t="s">
        <v>1118</v>
      </c>
      <c r="G1642" s="41" t="s">
        <v>28</v>
      </c>
      <c r="H1642" s="42"/>
    </row>
    <row r="1643" spans="2:8" ht="18" customHeight="1" x14ac:dyDescent="0.25">
      <c r="B1643" s="40">
        <f>SUBTOTAL(3,C$4:C1643)</f>
        <v>1580</v>
      </c>
      <c r="C1643" s="41">
        <v>24251038</v>
      </c>
      <c r="D1643" s="41" t="s">
        <v>2081</v>
      </c>
      <c r="E1643" s="41" t="s">
        <v>33</v>
      </c>
      <c r="F1643" s="41" t="s">
        <v>1118</v>
      </c>
      <c r="G1643" s="41" t="s">
        <v>28</v>
      </c>
      <c r="H1643" s="42"/>
    </row>
    <row r="1644" spans="2:8" ht="18" customHeight="1" x14ac:dyDescent="0.25">
      <c r="B1644" s="40">
        <f>SUBTOTAL(3,C$4:C1644)</f>
        <v>1581</v>
      </c>
      <c r="C1644" s="41">
        <v>24091262</v>
      </c>
      <c r="D1644" s="41" t="s">
        <v>2088</v>
      </c>
      <c r="E1644" s="41" t="s">
        <v>33</v>
      </c>
      <c r="F1644" s="41" t="s">
        <v>1118</v>
      </c>
      <c r="G1644" s="41" t="s">
        <v>28</v>
      </c>
      <c r="H1644" s="42"/>
    </row>
    <row r="1645" spans="2:8" ht="18" customHeight="1" x14ac:dyDescent="0.25">
      <c r="B1645" s="40">
        <f>SUBTOTAL(3,C$4:C1645)</f>
        <v>1582</v>
      </c>
      <c r="C1645" s="41">
        <v>24100776</v>
      </c>
      <c r="D1645" s="41" t="s">
        <v>2101</v>
      </c>
      <c r="E1645" s="41" t="s">
        <v>33</v>
      </c>
      <c r="F1645" s="41" t="s">
        <v>1118</v>
      </c>
      <c r="G1645" s="41" t="s">
        <v>28</v>
      </c>
      <c r="H1645" s="42"/>
    </row>
    <row r="1646" spans="2:8" ht="18" customHeight="1" x14ac:dyDescent="0.25">
      <c r="B1646" s="40">
        <f>SUBTOTAL(3,C$4:C1646)</f>
        <v>1583</v>
      </c>
      <c r="C1646" s="41">
        <v>24112590</v>
      </c>
      <c r="D1646" s="41" t="s">
        <v>1117</v>
      </c>
      <c r="E1646" s="41" t="s">
        <v>33</v>
      </c>
      <c r="F1646" s="41" t="s">
        <v>1118</v>
      </c>
      <c r="G1646" s="41" t="s">
        <v>28</v>
      </c>
      <c r="H1646" s="42"/>
    </row>
    <row r="1647" spans="2:8" ht="18" customHeight="1" x14ac:dyDescent="0.25">
      <c r="B1647" s="40">
        <f>SUBTOTAL(3,C$4:C1647)</f>
        <v>1584</v>
      </c>
      <c r="C1647" s="41">
        <v>24099893</v>
      </c>
      <c r="D1647" s="41" t="s">
        <v>1119</v>
      </c>
      <c r="E1647" s="41" t="s">
        <v>33</v>
      </c>
      <c r="F1647" s="41" t="s">
        <v>1118</v>
      </c>
      <c r="G1647" s="41" t="s">
        <v>28</v>
      </c>
      <c r="H1647" s="42"/>
    </row>
    <row r="1648" spans="2:8" ht="18" customHeight="1" x14ac:dyDescent="0.25">
      <c r="B1648" s="40">
        <f>SUBTOTAL(3,C$4:C1648)</f>
        <v>1585</v>
      </c>
      <c r="C1648" s="41">
        <v>24099657</v>
      </c>
      <c r="D1648" s="41" t="s">
        <v>1133</v>
      </c>
      <c r="E1648" s="41" t="s">
        <v>33</v>
      </c>
      <c r="F1648" s="41" t="s">
        <v>1118</v>
      </c>
      <c r="G1648" s="41" t="s">
        <v>28</v>
      </c>
      <c r="H1648" s="42"/>
    </row>
    <row r="1649" spans="2:8" ht="18" customHeight="1" x14ac:dyDescent="0.25">
      <c r="B1649" s="40">
        <f>SUBTOTAL(3,C$4:C1649)</f>
        <v>1586</v>
      </c>
      <c r="C1649" s="41">
        <v>24257063</v>
      </c>
      <c r="D1649" s="41" t="s">
        <v>1137</v>
      </c>
      <c r="E1649" s="41" t="s">
        <v>33</v>
      </c>
      <c r="F1649" s="41" t="s">
        <v>1138</v>
      </c>
      <c r="G1649" s="41" t="s">
        <v>28</v>
      </c>
      <c r="H1649" s="42"/>
    </row>
    <row r="1650" spans="2:8" ht="18" customHeight="1" x14ac:dyDescent="0.25">
      <c r="B1650" s="40">
        <f>SUBTOTAL(3,C$4:C1650)</f>
        <v>1587</v>
      </c>
      <c r="C1650" s="41">
        <v>24107420</v>
      </c>
      <c r="D1650" s="41" t="s">
        <v>1143</v>
      </c>
      <c r="E1650" s="41" t="s">
        <v>33</v>
      </c>
      <c r="F1650" s="41" t="s">
        <v>1118</v>
      </c>
      <c r="G1650" s="41" t="s">
        <v>28</v>
      </c>
      <c r="H1650" s="42"/>
    </row>
    <row r="1651" spans="2:8" ht="18" customHeight="1" x14ac:dyDescent="0.25">
      <c r="B1651" s="40">
        <f>SUBTOTAL(3,C$4:C1651)</f>
        <v>1588</v>
      </c>
      <c r="C1651" s="41">
        <v>24109370</v>
      </c>
      <c r="D1651" s="41" t="s">
        <v>1171</v>
      </c>
      <c r="E1651" s="41" t="s">
        <v>33</v>
      </c>
      <c r="F1651" s="41" t="s">
        <v>1118</v>
      </c>
      <c r="G1651" s="41" t="s">
        <v>28</v>
      </c>
      <c r="H1651" s="42"/>
    </row>
    <row r="1652" spans="2:8" ht="18" customHeight="1" x14ac:dyDescent="0.25">
      <c r="B1652" s="40">
        <f>SUBTOTAL(3,C$4:C1652)</f>
        <v>1589</v>
      </c>
      <c r="C1652" s="41">
        <v>24102295</v>
      </c>
      <c r="D1652" s="41" t="s">
        <v>1183</v>
      </c>
      <c r="E1652" s="41" t="s">
        <v>33</v>
      </c>
      <c r="F1652" s="41" t="s">
        <v>1118</v>
      </c>
      <c r="G1652" s="41" t="s">
        <v>28</v>
      </c>
      <c r="H1652" s="42"/>
    </row>
    <row r="1653" spans="2:8" ht="18" customHeight="1" x14ac:dyDescent="0.25">
      <c r="B1653" s="40">
        <f>SUBTOTAL(3,C$4:C1653)</f>
        <v>1590</v>
      </c>
      <c r="C1653" s="41">
        <v>24106688</v>
      </c>
      <c r="D1653" s="41" t="s">
        <v>1240</v>
      </c>
      <c r="E1653" s="41" t="s">
        <v>33</v>
      </c>
      <c r="F1653" s="41" t="s">
        <v>1118</v>
      </c>
      <c r="G1653" s="41" t="s">
        <v>28</v>
      </c>
      <c r="H1653" s="42"/>
    </row>
    <row r="1654" spans="2:8" ht="18" customHeight="1" x14ac:dyDescent="0.25">
      <c r="B1654" s="40">
        <f>SUBTOTAL(3,C$4:C1654)</f>
        <v>1591</v>
      </c>
      <c r="C1654" s="41">
        <v>24309915</v>
      </c>
      <c r="D1654" s="41" t="s">
        <v>1258</v>
      </c>
      <c r="E1654" s="41" t="s">
        <v>33</v>
      </c>
      <c r="F1654" s="41" t="s">
        <v>1118</v>
      </c>
      <c r="G1654" s="41" t="s">
        <v>28</v>
      </c>
      <c r="H1654" s="42"/>
    </row>
    <row r="1655" spans="2:8" ht="18" customHeight="1" x14ac:dyDescent="0.25">
      <c r="B1655" s="40">
        <f>SUBTOTAL(3,C$4:C1655)</f>
        <v>1592</v>
      </c>
      <c r="C1655" s="41">
        <v>24097012</v>
      </c>
      <c r="D1655" s="41" t="s">
        <v>2112</v>
      </c>
      <c r="E1655" s="41" t="s">
        <v>33</v>
      </c>
      <c r="F1655" s="41" t="s">
        <v>1118</v>
      </c>
      <c r="G1655" s="41" t="s">
        <v>28</v>
      </c>
      <c r="H1655" s="42"/>
    </row>
    <row r="1656" spans="2:8" ht="18" customHeight="1" x14ac:dyDescent="0.25">
      <c r="B1656" s="40">
        <f>SUBTOTAL(3,C$4:C1656)</f>
        <v>1593</v>
      </c>
      <c r="C1656" s="41">
        <v>24170149</v>
      </c>
      <c r="D1656" s="41" t="s">
        <v>619</v>
      </c>
      <c r="E1656" s="41" t="s">
        <v>33</v>
      </c>
      <c r="F1656" s="41" t="s">
        <v>1118</v>
      </c>
      <c r="G1656" s="41" t="s">
        <v>28</v>
      </c>
      <c r="H1656" s="42"/>
    </row>
    <row r="1657" spans="2:8" ht="18" customHeight="1" x14ac:dyDescent="0.25">
      <c r="B1657" s="40">
        <f>SUBTOTAL(3,C$4:C1657)</f>
        <v>1594</v>
      </c>
      <c r="C1657" s="41">
        <v>24089149</v>
      </c>
      <c r="D1657" s="41" t="s">
        <v>2117</v>
      </c>
      <c r="E1657" s="41" t="s">
        <v>33</v>
      </c>
      <c r="F1657" s="41" t="s">
        <v>1118</v>
      </c>
      <c r="G1657" s="41" t="s">
        <v>28</v>
      </c>
      <c r="H1657" s="42"/>
    </row>
    <row r="1658" spans="2:8" ht="18" customHeight="1" x14ac:dyDescent="0.25">
      <c r="B1658" s="40">
        <f>SUBTOTAL(3,C$4:C1658)</f>
        <v>1595</v>
      </c>
      <c r="C1658" s="41">
        <v>24101485</v>
      </c>
      <c r="D1658" s="41" t="s">
        <v>2138</v>
      </c>
      <c r="E1658" s="41" t="s">
        <v>33</v>
      </c>
      <c r="F1658" s="41" t="s">
        <v>1118</v>
      </c>
      <c r="G1658" s="41" t="s">
        <v>28</v>
      </c>
      <c r="H1658" s="42"/>
    </row>
    <row r="1659" spans="2:8" ht="18" customHeight="1" x14ac:dyDescent="0.25">
      <c r="B1659" s="40">
        <f>SUBTOTAL(3,C$4:C1659)</f>
        <v>1596</v>
      </c>
      <c r="C1659" s="41">
        <v>24251073</v>
      </c>
      <c r="D1659" s="41" t="s">
        <v>2145</v>
      </c>
      <c r="E1659" s="41" t="s">
        <v>33</v>
      </c>
      <c r="F1659" s="41" t="s">
        <v>1118</v>
      </c>
      <c r="G1659" s="41" t="s">
        <v>28</v>
      </c>
      <c r="H1659" s="42"/>
    </row>
    <row r="1660" spans="2:8" ht="18" customHeight="1" x14ac:dyDescent="0.25">
      <c r="B1660" s="40">
        <f>SUBTOTAL(3,C$4:C1660)</f>
        <v>1597</v>
      </c>
      <c r="C1660" s="41">
        <v>24104277</v>
      </c>
      <c r="D1660" s="41" t="s">
        <v>2146</v>
      </c>
      <c r="E1660" s="41" t="s">
        <v>33</v>
      </c>
      <c r="F1660" s="41" t="s">
        <v>1118</v>
      </c>
      <c r="G1660" s="41" t="s">
        <v>28</v>
      </c>
      <c r="H1660" s="42"/>
    </row>
    <row r="1661" spans="2:8" ht="18" customHeight="1" x14ac:dyDescent="0.25">
      <c r="B1661" s="40">
        <f>SUBTOTAL(3,C$4:C1661)</f>
        <v>1598</v>
      </c>
      <c r="C1661" s="41">
        <v>24088456</v>
      </c>
      <c r="D1661" s="41" t="s">
        <v>2178</v>
      </c>
      <c r="E1661" s="41" t="s">
        <v>33</v>
      </c>
      <c r="F1661" s="41" t="s">
        <v>1118</v>
      </c>
      <c r="G1661" s="41" t="s">
        <v>28</v>
      </c>
      <c r="H1661" s="42"/>
    </row>
    <row r="1662" spans="2:8" ht="18" hidden="1" customHeight="1" x14ac:dyDescent="0.25">
      <c r="B1662" s="40">
        <f>SUBTOTAL(3,C$4:C1662)</f>
        <v>1598</v>
      </c>
      <c r="C1662" s="41">
        <v>24038648</v>
      </c>
      <c r="D1662" s="41" t="s">
        <v>2181</v>
      </c>
      <c r="E1662" s="41" t="s">
        <v>33</v>
      </c>
      <c r="F1662" s="41" t="s">
        <v>1118</v>
      </c>
      <c r="G1662" s="41" t="s">
        <v>27</v>
      </c>
      <c r="H1662" s="42" t="s">
        <v>2182</v>
      </c>
    </row>
    <row r="1663" spans="2:8" ht="18" customHeight="1" x14ac:dyDescent="0.25">
      <c r="B1663" s="40">
        <f>SUBTOTAL(3,C$4:C1663)</f>
        <v>1599</v>
      </c>
      <c r="C1663" s="41">
        <v>24151598</v>
      </c>
      <c r="D1663" s="41" t="s">
        <v>2235</v>
      </c>
      <c r="E1663" s="41" t="s">
        <v>33</v>
      </c>
      <c r="F1663" s="41" t="s">
        <v>1118</v>
      </c>
      <c r="G1663" s="41" t="s">
        <v>28</v>
      </c>
      <c r="H1663" s="42"/>
    </row>
    <row r="1664" spans="2:8" ht="18" customHeight="1" x14ac:dyDescent="0.25">
      <c r="B1664" s="40">
        <f>SUBTOTAL(3,C$4:C1664)</f>
        <v>1600</v>
      </c>
      <c r="C1664" s="41">
        <v>24106485</v>
      </c>
      <c r="D1664" s="41" t="s">
        <v>2250</v>
      </c>
      <c r="E1664" s="41" t="s">
        <v>33</v>
      </c>
      <c r="F1664" s="41" t="s">
        <v>1118</v>
      </c>
      <c r="G1664" s="41" t="s">
        <v>28</v>
      </c>
      <c r="H1664" s="42"/>
    </row>
    <row r="1665" spans="2:8" ht="18" customHeight="1" x14ac:dyDescent="0.25">
      <c r="B1665" s="40">
        <f>SUBTOTAL(3,C$4:C1665)</f>
        <v>1601</v>
      </c>
      <c r="C1665" s="41">
        <v>24252500</v>
      </c>
      <c r="D1665" s="41" t="s">
        <v>2278</v>
      </c>
      <c r="E1665" s="41" t="s">
        <v>33</v>
      </c>
      <c r="F1665" s="41" t="s">
        <v>1118</v>
      </c>
      <c r="G1665" s="41" t="s">
        <v>28</v>
      </c>
      <c r="H1665" s="42"/>
    </row>
    <row r="1666" spans="2:8" ht="18" customHeight="1" x14ac:dyDescent="0.25">
      <c r="B1666" s="40">
        <f>SUBTOTAL(3,C$4:C1666)</f>
        <v>1602</v>
      </c>
      <c r="C1666" s="41">
        <v>24312820</v>
      </c>
      <c r="D1666" s="41" t="s">
        <v>2322</v>
      </c>
      <c r="E1666" s="41" t="s">
        <v>33</v>
      </c>
      <c r="F1666" s="41" t="s">
        <v>1118</v>
      </c>
      <c r="G1666" s="41" t="s">
        <v>28</v>
      </c>
      <c r="H1666" s="42"/>
    </row>
    <row r="1667" spans="2:8" ht="18" customHeight="1" x14ac:dyDescent="0.25">
      <c r="B1667" s="40">
        <f>SUBTOTAL(3,C$4:C1667)</f>
        <v>1603</v>
      </c>
      <c r="C1667" s="41">
        <v>24309790</v>
      </c>
      <c r="D1667" s="41" t="s">
        <v>2350</v>
      </c>
      <c r="E1667" s="41" t="s">
        <v>33</v>
      </c>
      <c r="F1667" s="41" t="s">
        <v>1118</v>
      </c>
      <c r="G1667" s="41" t="s">
        <v>28</v>
      </c>
      <c r="H1667" s="42"/>
    </row>
    <row r="1668" spans="2:8" ht="18" customHeight="1" x14ac:dyDescent="0.25">
      <c r="B1668" s="40">
        <f>SUBTOTAL(3,C$4:C1668)</f>
        <v>1604</v>
      </c>
      <c r="C1668" s="41">
        <v>24114911</v>
      </c>
      <c r="D1668" s="41" t="s">
        <v>2355</v>
      </c>
      <c r="E1668" s="41" t="s">
        <v>33</v>
      </c>
      <c r="F1668" s="41" t="s">
        <v>1118</v>
      </c>
      <c r="G1668" s="41" t="s">
        <v>28</v>
      </c>
      <c r="H1668" s="42"/>
    </row>
    <row r="1669" spans="2:8" ht="18" customHeight="1" x14ac:dyDescent="0.25">
      <c r="B1669" s="40">
        <f>SUBTOTAL(3,C$4:C1669)</f>
        <v>1605</v>
      </c>
      <c r="C1669" s="41">
        <v>24102206</v>
      </c>
      <c r="D1669" s="41" t="s">
        <v>2432</v>
      </c>
      <c r="E1669" s="41" t="s">
        <v>33</v>
      </c>
      <c r="F1669" s="41" t="s">
        <v>1118</v>
      </c>
      <c r="G1669" s="41" t="s">
        <v>28</v>
      </c>
      <c r="H1669" s="42"/>
    </row>
    <row r="1670" spans="2:8" ht="18" customHeight="1" x14ac:dyDescent="0.25">
      <c r="B1670" s="40">
        <f>SUBTOTAL(3,C$4:C1670)</f>
        <v>1606</v>
      </c>
      <c r="C1670" s="41">
        <v>24090273</v>
      </c>
      <c r="D1670" s="41" t="s">
        <v>1894</v>
      </c>
      <c r="E1670" s="41" t="s">
        <v>33</v>
      </c>
      <c r="F1670" s="41" t="s">
        <v>1217</v>
      </c>
      <c r="G1670" s="41" t="s">
        <v>28</v>
      </c>
      <c r="H1670" s="42"/>
    </row>
    <row r="1671" spans="2:8" ht="18" hidden="1" customHeight="1" x14ac:dyDescent="0.25">
      <c r="B1671" s="40">
        <f>SUBTOTAL(3,C$4:C1671)</f>
        <v>1606</v>
      </c>
      <c r="C1671" s="41">
        <v>24091043</v>
      </c>
      <c r="D1671" s="41" t="s">
        <v>1989</v>
      </c>
      <c r="E1671" s="41" t="s">
        <v>33</v>
      </c>
      <c r="F1671" s="41" t="s">
        <v>1217</v>
      </c>
      <c r="G1671" s="41" t="s">
        <v>27</v>
      </c>
      <c r="H1671" s="42"/>
    </row>
    <row r="1672" spans="2:8" ht="18" customHeight="1" x14ac:dyDescent="0.25">
      <c r="B1672" s="40">
        <f>SUBTOTAL(3,C$4:C1672)</f>
        <v>1607</v>
      </c>
      <c r="C1672" s="41">
        <v>24088862</v>
      </c>
      <c r="D1672" s="41" t="s">
        <v>1999</v>
      </c>
      <c r="E1672" s="41" t="s">
        <v>33</v>
      </c>
      <c r="F1672" s="41" t="s">
        <v>1217</v>
      </c>
      <c r="G1672" s="41" t="s">
        <v>28</v>
      </c>
      <c r="H1672" s="42"/>
    </row>
    <row r="1673" spans="2:8" ht="18" customHeight="1" x14ac:dyDescent="0.25">
      <c r="B1673" s="40">
        <f>SUBTOTAL(3,C$4:C1673)</f>
        <v>1608</v>
      </c>
      <c r="C1673" s="41">
        <v>24117703</v>
      </c>
      <c r="D1673" s="41" t="s">
        <v>2023</v>
      </c>
      <c r="E1673" s="41" t="s">
        <v>33</v>
      </c>
      <c r="F1673" s="41" t="s">
        <v>1217</v>
      </c>
      <c r="G1673" s="41" t="s">
        <v>28</v>
      </c>
      <c r="H1673" s="42"/>
    </row>
    <row r="1674" spans="2:8" ht="18" customHeight="1" x14ac:dyDescent="0.25">
      <c r="B1674" s="40">
        <f>SUBTOTAL(3,C$4:C1674)</f>
        <v>1609</v>
      </c>
      <c r="C1674" s="41">
        <v>24088510</v>
      </c>
      <c r="D1674" s="41" t="s">
        <v>2055</v>
      </c>
      <c r="E1674" s="41" t="s">
        <v>33</v>
      </c>
      <c r="F1674" s="41" t="s">
        <v>1217</v>
      </c>
      <c r="G1674" s="41" t="s">
        <v>28</v>
      </c>
      <c r="H1674" s="42"/>
    </row>
    <row r="1675" spans="2:8" ht="18" customHeight="1" x14ac:dyDescent="0.25">
      <c r="B1675" s="40">
        <f>SUBTOTAL(3,C$4:C1675)</f>
        <v>1610</v>
      </c>
      <c r="C1675" s="41">
        <v>24088848</v>
      </c>
      <c r="D1675" s="41" t="s">
        <v>2074</v>
      </c>
      <c r="E1675" s="41" t="s">
        <v>33</v>
      </c>
      <c r="F1675" s="41" t="s">
        <v>1217</v>
      </c>
      <c r="G1675" s="41" t="s">
        <v>28</v>
      </c>
      <c r="H1675" s="42"/>
    </row>
    <row r="1676" spans="2:8" ht="18" hidden="1" customHeight="1" x14ac:dyDescent="0.25">
      <c r="B1676" s="40">
        <f>SUBTOTAL(3,C$4:C1676)</f>
        <v>1610</v>
      </c>
      <c r="C1676" s="41">
        <v>24102583</v>
      </c>
      <c r="D1676" s="41" t="s">
        <v>1216</v>
      </c>
      <c r="E1676" s="41" t="s">
        <v>33</v>
      </c>
      <c r="F1676" s="41" t="s">
        <v>1217</v>
      </c>
      <c r="G1676" s="41" t="s">
        <v>27</v>
      </c>
      <c r="H1676" s="42" t="s">
        <v>1218</v>
      </c>
    </row>
    <row r="1677" spans="2:8" ht="18" hidden="1" customHeight="1" x14ac:dyDescent="0.25">
      <c r="B1677" s="40">
        <f>SUBTOTAL(3,C$4:C1677)</f>
        <v>1610</v>
      </c>
      <c r="C1677" s="41">
        <v>24100974</v>
      </c>
      <c r="D1677" s="41" t="s">
        <v>1222</v>
      </c>
      <c r="E1677" s="41" t="s">
        <v>33</v>
      </c>
      <c r="F1677" s="41" t="s">
        <v>1217</v>
      </c>
      <c r="G1677" s="41" t="s">
        <v>27</v>
      </c>
      <c r="H1677" s="42" t="s">
        <v>1179</v>
      </c>
    </row>
    <row r="1678" spans="2:8" ht="18" hidden="1" customHeight="1" x14ac:dyDescent="0.25">
      <c r="B1678" s="40">
        <f>SUBTOTAL(3,C$4:C1678)</f>
        <v>1610</v>
      </c>
      <c r="C1678" s="41">
        <v>24114571</v>
      </c>
      <c r="D1678" s="41" t="s">
        <v>2272</v>
      </c>
      <c r="E1678" s="41" t="s">
        <v>33</v>
      </c>
      <c r="F1678" s="41" t="s">
        <v>1217</v>
      </c>
      <c r="G1678" s="41" t="s">
        <v>27</v>
      </c>
      <c r="H1678" s="42" t="s">
        <v>2273</v>
      </c>
    </row>
    <row r="1679" spans="2:8" ht="18" customHeight="1" x14ac:dyDescent="0.25">
      <c r="B1679" s="40">
        <f>SUBTOTAL(3,C$4:C1679)</f>
        <v>1611</v>
      </c>
      <c r="C1679" s="41">
        <v>24102233</v>
      </c>
      <c r="D1679" s="41" t="s">
        <v>2315</v>
      </c>
      <c r="E1679" s="41" t="s">
        <v>33</v>
      </c>
      <c r="F1679" s="41" t="s">
        <v>1217</v>
      </c>
      <c r="G1679" s="41" t="s">
        <v>28</v>
      </c>
      <c r="H1679" s="42"/>
    </row>
    <row r="1680" spans="2:8" ht="18" hidden="1" customHeight="1" x14ac:dyDescent="0.25">
      <c r="B1680" s="40">
        <f>SUBTOTAL(3,C$4:C1680)</f>
        <v>1611</v>
      </c>
      <c r="C1680" s="41">
        <v>24114289</v>
      </c>
      <c r="D1680" s="41" t="s">
        <v>2413</v>
      </c>
      <c r="E1680" s="41" t="s">
        <v>33</v>
      </c>
      <c r="F1680" s="41" t="s">
        <v>1217</v>
      </c>
      <c r="G1680" s="41" t="s">
        <v>27</v>
      </c>
      <c r="H1680" s="42" t="s">
        <v>1179</v>
      </c>
    </row>
    <row r="1681" spans="2:8" ht="18" customHeight="1" x14ac:dyDescent="0.25">
      <c r="B1681" s="40">
        <f>SUBTOTAL(3,C$4:C1681)</f>
        <v>1612</v>
      </c>
      <c r="C1681" s="41">
        <v>24268216</v>
      </c>
      <c r="D1681" s="41" t="s">
        <v>1778</v>
      </c>
      <c r="E1681" s="41" t="s">
        <v>33</v>
      </c>
      <c r="F1681" s="41" t="s">
        <v>1102</v>
      </c>
      <c r="G1681" s="41" t="s">
        <v>28</v>
      </c>
      <c r="H1681" s="42"/>
    </row>
    <row r="1682" spans="2:8" ht="18" customHeight="1" x14ac:dyDescent="0.25">
      <c r="B1682" s="40">
        <f>SUBTOTAL(3,C$4:C1682)</f>
        <v>1613</v>
      </c>
      <c r="C1682" s="41">
        <v>24111012</v>
      </c>
      <c r="D1682" s="41" t="s">
        <v>1782</v>
      </c>
      <c r="E1682" s="41" t="s">
        <v>33</v>
      </c>
      <c r="F1682" s="41" t="s">
        <v>1102</v>
      </c>
      <c r="G1682" s="41" t="s">
        <v>28</v>
      </c>
      <c r="H1682" s="42"/>
    </row>
    <row r="1683" spans="2:8" ht="18" customHeight="1" x14ac:dyDescent="0.25">
      <c r="B1683" s="40">
        <f>SUBTOTAL(3,C$4:C1683)</f>
        <v>1614</v>
      </c>
      <c r="C1683" s="41">
        <v>24091452</v>
      </c>
      <c r="D1683" s="41" t="s">
        <v>1862</v>
      </c>
      <c r="E1683" s="41" t="s">
        <v>33</v>
      </c>
      <c r="F1683" s="41" t="s">
        <v>1102</v>
      </c>
      <c r="G1683" s="41" t="s">
        <v>28</v>
      </c>
      <c r="H1683" s="42"/>
    </row>
    <row r="1684" spans="2:8" ht="18" customHeight="1" x14ac:dyDescent="0.25">
      <c r="B1684" s="40">
        <f>SUBTOTAL(3,C$4:C1684)</f>
        <v>1615</v>
      </c>
      <c r="C1684" s="41">
        <v>24117877</v>
      </c>
      <c r="D1684" s="41" t="s">
        <v>1865</v>
      </c>
      <c r="E1684" s="41" t="s">
        <v>33</v>
      </c>
      <c r="F1684" s="41" t="s">
        <v>1102</v>
      </c>
      <c r="G1684" s="41" t="s">
        <v>28</v>
      </c>
      <c r="H1684" s="42"/>
    </row>
    <row r="1685" spans="2:8" ht="18" customHeight="1" x14ac:dyDescent="0.25">
      <c r="B1685" s="40">
        <f>SUBTOTAL(3,C$4:C1685)</f>
        <v>1616</v>
      </c>
      <c r="C1685" s="41">
        <v>24264950</v>
      </c>
      <c r="D1685" s="41" t="s">
        <v>1904</v>
      </c>
      <c r="E1685" s="41" t="s">
        <v>33</v>
      </c>
      <c r="F1685" s="41" t="s">
        <v>1102</v>
      </c>
      <c r="G1685" s="41" t="s">
        <v>28</v>
      </c>
      <c r="H1685" s="42"/>
    </row>
    <row r="1686" spans="2:8" ht="18" customHeight="1" x14ac:dyDescent="0.25">
      <c r="B1686" s="40">
        <f>SUBTOTAL(3,C$4:C1686)</f>
        <v>1617</v>
      </c>
      <c r="C1686" s="41">
        <v>24030184</v>
      </c>
      <c r="D1686" s="41" t="s">
        <v>1908</v>
      </c>
      <c r="E1686" s="41" t="s">
        <v>33</v>
      </c>
      <c r="F1686" s="41" t="s">
        <v>1102</v>
      </c>
      <c r="G1686" s="41" t="s">
        <v>28</v>
      </c>
      <c r="H1686" s="42"/>
    </row>
    <row r="1687" spans="2:8" ht="18" customHeight="1" x14ac:dyDescent="0.25">
      <c r="B1687" s="40">
        <f>SUBTOTAL(3,C$4:C1687)</f>
        <v>1618</v>
      </c>
      <c r="C1687" s="41">
        <v>24019842</v>
      </c>
      <c r="D1687" s="41" t="s">
        <v>1922</v>
      </c>
      <c r="E1687" s="41" t="s">
        <v>33</v>
      </c>
      <c r="F1687" s="41" t="s">
        <v>1102</v>
      </c>
      <c r="G1687" s="41" t="s">
        <v>28</v>
      </c>
      <c r="H1687" s="42"/>
    </row>
    <row r="1688" spans="2:8" ht="18" customHeight="1" x14ac:dyDescent="0.25">
      <c r="B1688" s="40">
        <f>SUBTOTAL(3,C$4:C1688)</f>
        <v>1619</v>
      </c>
      <c r="C1688" s="41">
        <v>24089835</v>
      </c>
      <c r="D1688" s="41" t="s">
        <v>1924</v>
      </c>
      <c r="E1688" s="41" t="s">
        <v>33</v>
      </c>
      <c r="F1688" s="41" t="s">
        <v>1102</v>
      </c>
      <c r="G1688" s="41" t="s">
        <v>28</v>
      </c>
      <c r="H1688" s="42"/>
    </row>
    <row r="1689" spans="2:8" ht="18" customHeight="1" x14ac:dyDescent="0.25">
      <c r="B1689" s="40">
        <f>SUBTOTAL(3,C$4:C1689)</f>
        <v>1620</v>
      </c>
      <c r="C1689" s="41">
        <v>24109920</v>
      </c>
      <c r="D1689" s="41" t="s">
        <v>1990</v>
      </c>
      <c r="E1689" s="41" t="s">
        <v>33</v>
      </c>
      <c r="F1689" s="41" t="s">
        <v>1102</v>
      </c>
      <c r="G1689" s="41" t="s">
        <v>28</v>
      </c>
      <c r="H1689" s="42"/>
    </row>
    <row r="1690" spans="2:8" ht="18" customHeight="1" x14ac:dyDescent="0.25">
      <c r="B1690" s="40">
        <f>SUBTOTAL(3,C$4:C1690)</f>
        <v>1621</v>
      </c>
      <c r="C1690" s="41">
        <v>24030089</v>
      </c>
      <c r="D1690" s="41" t="s">
        <v>2019</v>
      </c>
      <c r="E1690" s="41" t="s">
        <v>33</v>
      </c>
      <c r="F1690" s="41" t="s">
        <v>1102</v>
      </c>
      <c r="G1690" s="41" t="s">
        <v>28</v>
      </c>
      <c r="H1690" s="42"/>
    </row>
    <row r="1691" spans="2:8" ht="18" customHeight="1" x14ac:dyDescent="0.25">
      <c r="B1691" s="40">
        <f>SUBTOTAL(3,C$4:C1691)</f>
        <v>1622</v>
      </c>
      <c r="C1691" s="41">
        <v>24104016</v>
      </c>
      <c r="D1691" s="41" t="s">
        <v>2036</v>
      </c>
      <c r="E1691" s="41" t="s">
        <v>33</v>
      </c>
      <c r="F1691" s="41" t="s">
        <v>1102</v>
      </c>
      <c r="G1691" s="41" t="s">
        <v>28</v>
      </c>
      <c r="H1691" s="42"/>
    </row>
    <row r="1692" spans="2:8" ht="18" hidden="1" customHeight="1" x14ac:dyDescent="0.25">
      <c r="B1692" s="40">
        <f>SUBTOTAL(3,C$4:C1692)</f>
        <v>1622</v>
      </c>
      <c r="C1692" s="41">
        <v>24088886</v>
      </c>
      <c r="D1692" s="41" t="s">
        <v>2038</v>
      </c>
      <c r="E1692" s="41" t="s">
        <v>33</v>
      </c>
      <c r="F1692" s="41" t="s">
        <v>1102</v>
      </c>
      <c r="G1692" s="41" t="s">
        <v>27</v>
      </c>
      <c r="H1692" s="42" t="s">
        <v>1148</v>
      </c>
    </row>
    <row r="1693" spans="2:8" ht="18" customHeight="1" x14ac:dyDescent="0.25">
      <c r="B1693" s="40">
        <f>SUBTOTAL(3,C$4:C1693)</f>
        <v>1623</v>
      </c>
      <c r="C1693" s="41">
        <v>24090395</v>
      </c>
      <c r="D1693" s="41" t="s">
        <v>2073</v>
      </c>
      <c r="E1693" s="41" t="s">
        <v>33</v>
      </c>
      <c r="F1693" s="41" t="s">
        <v>1102</v>
      </c>
      <c r="G1693" s="41" t="s">
        <v>28</v>
      </c>
      <c r="H1693" s="42"/>
    </row>
    <row r="1694" spans="2:8" ht="18" customHeight="1" x14ac:dyDescent="0.25">
      <c r="B1694" s="40">
        <f>SUBTOTAL(3,C$4:C1694)</f>
        <v>1624</v>
      </c>
      <c r="C1694" s="41">
        <v>24115884</v>
      </c>
      <c r="D1694" s="41" t="s">
        <v>2089</v>
      </c>
      <c r="E1694" s="41" t="s">
        <v>33</v>
      </c>
      <c r="F1694" s="41" t="s">
        <v>1102</v>
      </c>
      <c r="G1694" s="41" t="s">
        <v>28</v>
      </c>
      <c r="H1694" s="42"/>
    </row>
    <row r="1695" spans="2:8" ht="18" customHeight="1" x14ac:dyDescent="0.25">
      <c r="B1695" s="40">
        <f>SUBTOTAL(3,C$4:C1695)</f>
        <v>1625</v>
      </c>
      <c r="C1695" s="41">
        <v>24089016</v>
      </c>
      <c r="D1695" s="41" t="s">
        <v>2098</v>
      </c>
      <c r="E1695" s="41" t="s">
        <v>33</v>
      </c>
      <c r="F1695" s="41" t="s">
        <v>1102</v>
      </c>
      <c r="G1695" s="41" t="s">
        <v>28</v>
      </c>
      <c r="H1695" s="42"/>
    </row>
    <row r="1696" spans="2:8" ht="18" customHeight="1" x14ac:dyDescent="0.25">
      <c r="B1696" s="40">
        <f>SUBTOTAL(3,C$4:C1696)</f>
        <v>1626</v>
      </c>
      <c r="C1696" s="41">
        <v>24021756</v>
      </c>
      <c r="D1696" s="41" t="s">
        <v>1101</v>
      </c>
      <c r="E1696" s="41" t="s">
        <v>33</v>
      </c>
      <c r="F1696" s="41" t="s">
        <v>1102</v>
      </c>
      <c r="G1696" s="41" t="s">
        <v>28</v>
      </c>
      <c r="H1696" s="42"/>
    </row>
    <row r="1697" spans="2:8" ht="18" customHeight="1" x14ac:dyDescent="0.25">
      <c r="B1697" s="40">
        <f>SUBTOTAL(3,C$4:C1697)</f>
        <v>1627</v>
      </c>
      <c r="C1697" s="41">
        <v>24252459</v>
      </c>
      <c r="D1697" s="41" t="s">
        <v>1110</v>
      </c>
      <c r="E1697" s="41" t="s">
        <v>33</v>
      </c>
      <c r="F1697" s="41" t="s">
        <v>1102</v>
      </c>
      <c r="G1697" s="41" t="s">
        <v>28</v>
      </c>
      <c r="H1697" s="42"/>
    </row>
    <row r="1698" spans="2:8" ht="18" customHeight="1" x14ac:dyDescent="0.25">
      <c r="B1698" s="40">
        <f>SUBTOTAL(3,C$4:C1698)</f>
        <v>1628</v>
      </c>
      <c r="C1698" s="41">
        <v>24089141</v>
      </c>
      <c r="D1698" s="41" t="s">
        <v>1115</v>
      </c>
      <c r="E1698" s="41" t="s">
        <v>33</v>
      </c>
      <c r="F1698" s="41" t="s">
        <v>1102</v>
      </c>
      <c r="G1698" s="41" t="s">
        <v>28</v>
      </c>
      <c r="H1698" s="42"/>
    </row>
    <row r="1699" spans="2:8" ht="18" customHeight="1" x14ac:dyDescent="0.25">
      <c r="B1699" s="40">
        <f>SUBTOTAL(3,C$4:C1699)</f>
        <v>1629</v>
      </c>
      <c r="C1699" s="41">
        <v>24099650</v>
      </c>
      <c r="D1699" s="41" t="s">
        <v>1128</v>
      </c>
      <c r="E1699" s="41" t="s">
        <v>33</v>
      </c>
      <c r="F1699" s="41" t="s">
        <v>1102</v>
      </c>
      <c r="G1699" s="41" t="s">
        <v>28</v>
      </c>
      <c r="H1699" s="42"/>
    </row>
    <row r="1700" spans="2:8" ht="18" customHeight="1" x14ac:dyDescent="0.25">
      <c r="B1700" s="40">
        <f>SUBTOTAL(3,C$4:C1700)</f>
        <v>1630</v>
      </c>
      <c r="C1700" s="41">
        <v>24114299</v>
      </c>
      <c r="D1700" s="41" t="s">
        <v>1134</v>
      </c>
      <c r="E1700" s="41" t="s">
        <v>33</v>
      </c>
      <c r="F1700" s="41" t="s">
        <v>1102</v>
      </c>
      <c r="G1700" s="41" t="s">
        <v>28</v>
      </c>
      <c r="H1700" s="42"/>
    </row>
    <row r="1701" spans="2:8" ht="18" customHeight="1" x14ac:dyDescent="0.25">
      <c r="B1701" s="40">
        <f>SUBTOTAL(3,C$4:C1701)</f>
        <v>1631</v>
      </c>
      <c r="C1701" s="41">
        <v>24089371</v>
      </c>
      <c r="D1701" s="41" t="s">
        <v>1175</v>
      </c>
      <c r="E1701" s="41" t="s">
        <v>33</v>
      </c>
      <c r="F1701" s="41" t="s">
        <v>1102</v>
      </c>
      <c r="G1701" s="41" t="s">
        <v>28</v>
      </c>
      <c r="H1701" s="42"/>
    </row>
    <row r="1702" spans="2:8" ht="18" customHeight="1" x14ac:dyDescent="0.25">
      <c r="B1702" s="40">
        <f>SUBTOTAL(3,C$4:C1702)</f>
        <v>1632</v>
      </c>
      <c r="C1702" s="41">
        <v>24089673</v>
      </c>
      <c r="D1702" s="41" t="s">
        <v>1176</v>
      </c>
      <c r="E1702" s="41" t="s">
        <v>33</v>
      </c>
      <c r="F1702" s="41" t="s">
        <v>1102</v>
      </c>
      <c r="G1702" s="41" t="s">
        <v>28</v>
      </c>
      <c r="H1702" s="42"/>
    </row>
    <row r="1703" spans="2:8" ht="18" customHeight="1" x14ac:dyDescent="0.25">
      <c r="B1703" s="40">
        <f>SUBTOTAL(3,C$4:C1703)</f>
        <v>1633</v>
      </c>
      <c r="C1703" s="41">
        <v>24088633</v>
      </c>
      <c r="D1703" s="41" t="s">
        <v>1243</v>
      </c>
      <c r="E1703" s="41" t="s">
        <v>33</v>
      </c>
      <c r="F1703" s="41" t="s">
        <v>1102</v>
      </c>
      <c r="G1703" s="41" t="s">
        <v>28</v>
      </c>
      <c r="H1703" s="42"/>
    </row>
    <row r="1704" spans="2:8" ht="18" customHeight="1" x14ac:dyDescent="0.25">
      <c r="B1704" s="40">
        <f>SUBTOTAL(3,C$4:C1704)</f>
        <v>1634</v>
      </c>
      <c r="C1704" s="41">
        <v>24107738</v>
      </c>
      <c r="D1704" s="41" t="s">
        <v>1252</v>
      </c>
      <c r="E1704" s="41" t="s">
        <v>33</v>
      </c>
      <c r="F1704" s="41" t="s">
        <v>1102</v>
      </c>
      <c r="G1704" s="41" t="s">
        <v>28</v>
      </c>
      <c r="H1704" s="42"/>
    </row>
    <row r="1705" spans="2:8" ht="18" customHeight="1" x14ac:dyDescent="0.25">
      <c r="B1705" s="40">
        <f>SUBTOTAL(3,C$4:C1705)</f>
        <v>1635</v>
      </c>
      <c r="C1705" s="41">
        <v>24089856</v>
      </c>
      <c r="D1705" s="41" t="s">
        <v>1262</v>
      </c>
      <c r="E1705" s="41" t="s">
        <v>33</v>
      </c>
      <c r="F1705" s="41" t="s">
        <v>1102</v>
      </c>
      <c r="G1705" s="41" t="s">
        <v>28</v>
      </c>
      <c r="H1705" s="42"/>
    </row>
    <row r="1706" spans="2:8" ht="18" customHeight="1" x14ac:dyDescent="0.25">
      <c r="B1706" s="40">
        <f>SUBTOTAL(3,C$4:C1706)</f>
        <v>1636</v>
      </c>
      <c r="C1706" s="41">
        <v>24089859</v>
      </c>
      <c r="D1706" s="41" t="s">
        <v>2114</v>
      </c>
      <c r="E1706" s="41" t="s">
        <v>33</v>
      </c>
      <c r="F1706" s="41" t="s">
        <v>1102</v>
      </c>
      <c r="G1706" s="41" t="s">
        <v>28</v>
      </c>
      <c r="H1706" s="42"/>
    </row>
    <row r="1707" spans="2:8" ht="18" customHeight="1" x14ac:dyDescent="0.25">
      <c r="B1707" s="40">
        <f>SUBTOTAL(3,C$4:C1707)</f>
        <v>1637</v>
      </c>
      <c r="C1707" s="41">
        <v>24104021</v>
      </c>
      <c r="D1707" s="41" t="s">
        <v>2141</v>
      </c>
      <c r="E1707" s="41" t="s">
        <v>33</v>
      </c>
      <c r="F1707" s="41" t="s">
        <v>1102</v>
      </c>
      <c r="G1707" s="41" t="s">
        <v>28</v>
      </c>
      <c r="H1707" s="42"/>
    </row>
    <row r="1708" spans="2:8" ht="18" customHeight="1" x14ac:dyDescent="0.25">
      <c r="B1708" s="40">
        <f>SUBTOTAL(3,C$4:C1708)</f>
        <v>1638</v>
      </c>
      <c r="C1708" s="41">
        <v>24116672</v>
      </c>
      <c r="D1708" s="41" t="s">
        <v>2151</v>
      </c>
      <c r="E1708" s="41" t="s">
        <v>33</v>
      </c>
      <c r="F1708" s="41" t="s">
        <v>1102</v>
      </c>
      <c r="G1708" s="41" t="s">
        <v>28</v>
      </c>
      <c r="H1708" s="42"/>
    </row>
    <row r="1709" spans="2:8" ht="18" customHeight="1" x14ac:dyDescent="0.25">
      <c r="B1709" s="40">
        <f>SUBTOTAL(3,C$4:C1709)</f>
        <v>1639</v>
      </c>
      <c r="C1709" s="41">
        <v>24257884</v>
      </c>
      <c r="D1709" s="41" t="s">
        <v>2173</v>
      </c>
      <c r="E1709" s="41" t="s">
        <v>33</v>
      </c>
      <c r="F1709" s="41" t="s">
        <v>1102</v>
      </c>
      <c r="G1709" s="41" t="s">
        <v>28</v>
      </c>
      <c r="H1709" s="42"/>
    </row>
    <row r="1710" spans="2:8" ht="18" hidden="1" customHeight="1" x14ac:dyDescent="0.25">
      <c r="B1710" s="40">
        <f>SUBTOTAL(3,C$4:C1710)</f>
        <v>1639</v>
      </c>
      <c r="C1710" s="41">
        <v>24117653</v>
      </c>
      <c r="D1710" s="41" t="s">
        <v>2191</v>
      </c>
      <c r="E1710" s="41" t="s">
        <v>33</v>
      </c>
      <c r="F1710" s="41" t="s">
        <v>1102</v>
      </c>
      <c r="G1710" s="41" t="s">
        <v>27</v>
      </c>
      <c r="H1710" s="42" t="s">
        <v>1179</v>
      </c>
    </row>
    <row r="1711" spans="2:8" ht="18" customHeight="1" x14ac:dyDescent="0.25">
      <c r="B1711" s="40">
        <f>SUBTOTAL(3,C$4:C1711)</f>
        <v>1640</v>
      </c>
      <c r="C1711" s="41">
        <v>24118103</v>
      </c>
      <c r="D1711" s="41" t="s">
        <v>2211</v>
      </c>
      <c r="E1711" s="41" t="s">
        <v>33</v>
      </c>
      <c r="F1711" s="41" t="s">
        <v>1102</v>
      </c>
      <c r="G1711" s="41" t="s">
        <v>28</v>
      </c>
      <c r="H1711" s="42"/>
    </row>
    <row r="1712" spans="2:8" ht="18" customHeight="1" x14ac:dyDescent="0.25">
      <c r="B1712" s="40">
        <f>SUBTOTAL(3,C$4:C1712)</f>
        <v>1641</v>
      </c>
      <c r="C1712" s="41">
        <v>24091138</v>
      </c>
      <c r="D1712" s="41" t="s">
        <v>2217</v>
      </c>
      <c r="E1712" s="41" t="s">
        <v>33</v>
      </c>
      <c r="F1712" s="41" t="s">
        <v>1102</v>
      </c>
      <c r="G1712" s="41" t="s">
        <v>28</v>
      </c>
      <c r="H1712" s="42"/>
    </row>
    <row r="1713" spans="2:8" ht="18" customHeight="1" x14ac:dyDescent="0.25">
      <c r="B1713" s="40">
        <f>SUBTOTAL(3,C$4:C1713)</f>
        <v>1642</v>
      </c>
      <c r="C1713" s="41">
        <v>24099979</v>
      </c>
      <c r="D1713" s="41" t="s">
        <v>2255</v>
      </c>
      <c r="E1713" s="41" t="s">
        <v>33</v>
      </c>
      <c r="F1713" s="41" t="s">
        <v>1102</v>
      </c>
      <c r="G1713" s="41" t="s">
        <v>28</v>
      </c>
      <c r="H1713" s="42"/>
    </row>
    <row r="1714" spans="2:8" ht="18" customHeight="1" x14ac:dyDescent="0.25">
      <c r="B1714" s="40">
        <f>SUBTOTAL(3,C$4:C1714)</f>
        <v>1643</v>
      </c>
      <c r="C1714" s="41">
        <v>24309764</v>
      </c>
      <c r="D1714" s="41" t="s">
        <v>2281</v>
      </c>
      <c r="E1714" s="41" t="s">
        <v>33</v>
      </c>
      <c r="F1714" s="41" t="s">
        <v>1102</v>
      </c>
      <c r="G1714" s="41" t="s">
        <v>28</v>
      </c>
      <c r="H1714" s="42"/>
    </row>
    <row r="1715" spans="2:8" ht="18" customHeight="1" x14ac:dyDescent="0.25">
      <c r="B1715" s="40">
        <f>SUBTOTAL(3,C$4:C1715)</f>
        <v>1644</v>
      </c>
      <c r="C1715" s="41">
        <v>24088733</v>
      </c>
      <c r="D1715" s="41" t="s">
        <v>2291</v>
      </c>
      <c r="E1715" s="41" t="s">
        <v>33</v>
      </c>
      <c r="F1715" s="41" t="s">
        <v>1102</v>
      </c>
      <c r="G1715" s="41" t="s">
        <v>28</v>
      </c>
      <c r="H1715" s="42"/>
    </row>
    <row r="1716" spans="2:8" ht="18" customHeight="1" x14ac:dyDescent="0.25">
      <c r="B1716" s="40">
        <f>SUBTOTAL(3,C$4:C1716)</f>
        <v>1645</v>
      </c>
      <c r="C1716" s="41">
        <v>24104105</v>
      </c>
      <c r="D1716" s="41" t="s">
        <v>2302</v>
      </c>
      <c r="E1716" s="41" t="s">
        <v>33</v>
      </c>
      <c r="F1716" s="41" t="s">
        <v>1102</v>
      </c>
      <c r="G1716" s="41" t="s">
        <v>28</v>
      </c>
      <c r="H1716" s="42" t="s">
        <v>1148</v>
      </c>
    </row>
    <row r="1717" spans="2:8" ht="18" customHeight="1" x14ac:dyDescent="0.25">
      <c r="B1717" s="40">
        <f>SUBTOTAL(3,C$4:C1717)</f>
        <v>1646</v>
      </c>
      <c r="C1717" s="41">
        <v>24242981</v>
      </c>
      <c r="D1717" s="41" t="s">
        <v>2306</v>
      </c>
      <c r="E1717" s="41" t="s">
        <v>33</v>
      </c>
      <c r="F1717" s="41" t="s">
        <v>1102</v>
      </c>
      <c r="G1717" s="41" t="s">
        <v>28</v>
      </c>
      <c r="H1717" s="42"/>
    </row>
    <row r="1718" spans="2:8" ht="18" customHeight="1" x14ac:dyDescent="0.25">
      <c r="B1718" s="40">
        <f>SUBTOTAL(3,C$4:C1718)</f>
        <v>1647</v>
      </c>
      <c r="C1718" s="41">
        <v>24268186</v>
      </c>
      <c r="D1718" s="41" t="s">
        <v>2328</v>
      </c>
      <c r="E1718" s="41" t="s">
        <v>33</v>
      </c>
      <c r="F1718" s="41" t="s">
        <v>1102</v>
      </c>
      <c r="G1718" s="41" t="s">
        <v>28</v>
      </c>
      <c r="H1718" s="42"/>
    </row>
    <row r="1719" spans="2:8" ht="18" customHeight="1" x14ac:dyDescent="0.25">
      <c r="B1719" s="40">
        <f>SUBTOTAL(3,C$4:C1719)</f>
        <v>1648</v>
      </c>
      <c r="C1719" s="41">
        <v>24089997</v>
      </c>
      <c r="D1719" s="41" t="s">
        <v>2338</v>
      </c>
      <c r="E1719" s="41" t="s">
        <v>33</v>
      </c>
      <c r="F1719" s="41" t="s">
        <v>1102</v>
      </c>
      <c r="G1719" s="41" t="s">
        <v>28</v>
      </c>
      <c r="H1719" s="42"/>
    </row>
    <row r="1720" spans="2:8" ht="18" customHeight="1" x14ac:dyDescent="0.25">
      <c r="B1720" s="40">
        <f>SUBTOTAL(3,C$4:C1720)</f>
        <v>1649</v>
      </c>
      <c r="C1720" s="41">
        <v>24310983</v>
      </c>
      <c r="D1720" s="41" t="s">
        <v>2345</v>
      </c>
      <c r="E1720" s="41" t="s">
        <v>33</v>
      </c>
      <c r="F1720" s="41" t="s">
        <v>1102</v>
      </c>
      <c r="G1720" s="41" t="s">
        <v>28</v>
      </c>
      <c r="H1720" s="42"/>
    </row>
    <row r="1721" spans="2:8" ht="18" customHeight="1" x14ac:dyDescent="0.25">
      <c r="B1721" s="40">
        <f>SUBTOTAL(3,C$4:C1721)</f>
        <v>1650</v>
      </c>
      <c r="C1721" s="41">
        <v>24104305</v>
      </c>
      <c r="D1721" s="41" t="s">
        <v>2351</v>
      </c>
      <c r="E1721" s="41" t="s">
        <v>33</v>
      </c>
      <c r="F1721" s="41" t="s">
        <v>1102</v>
      </c>
      <c r="G1721" s="41" t="s">
        <v>28</v>
      </c>
      <c r="H1721" s="42"/>
    </row>
    <row r="1722" spans="2:8" ht="18" customHeight="1" x14ac:dyDescent="0.25">
      <c r="B1722" s="40">
        <f>SUBTOTAL(3,C$4:C1722)</f>
        <v>1651</v>
      </c>
      <c r="C1722" s="41">
        <v>24107426</v>
      </c>
      <c r="D1722" s="41" t="s">
        <v>2356</v>
      </c>
      <c r="E1722" s="41" t="s">
        <v>33</v>
      </c>
      <c r="F1722" s="41" t="s">
        <v>1102</v>
      </c>
      <c r="G1722" s="41" t="s">
        <v>28</v>
      </c>
      <c r="H1722" s="42"/>
    </row>
    <row r="1723" spans="2:8" ht="18" customHeight="1" x14ac:dyDescent="0.25">
      <c r="B1723" s="40">
        <f>SUBTOTAL(3,C$4:C1723)</f>
        <v>1652</v>
      </c>
      <c r="C1723" s="41">
        <v>24109041</v>
      </c>
      <c r="D1723" s="41" t="s">
        <v>2386</v>
      </c>
      <c r="E1723" s="41" t="s">
        <v>33</v>
      </c>
      <c r="F1723" s="41" t="s">
        <v>1102</v>
      </c>
      <c r="G1723" s="41" t="s">
        <v>28</v>
      </c>
      <c r="H1723" s="42"/>
    </row>
    <row r="1724" spans="2:8" ht="18" customHeight="1" x14ac:dyDescent="0.25">
      <c r="B1724" s="40">
        <f>SUBTOTAL(3,C$4:C1724)</f>
        <v>1653</v>
      </c>
      <c r="C1724" s="41">
        <v>24090299</v>
      </c>
      <c r="D1724" s="41" t="s">
        <v>2416</v>
      </c>
      <c r="E1724" s="41" t="s">
        <v>33</v>
      </c>
      <c r="F1724" s="41" t="s">
        <v>1102</v>
      </c>
      <c r="G1724" s="41" t="s">
        <v>28</v>
      </c>
      <c r="H1724" s="42"/>
    </row>
    <row r="1725" spans="2:8" ht="18" customHeight="1" x14ac:dyDescent="0.25">
      <c r="B1725" s="40">
        <f>SUBTOTAL(3,C$4:C1725)</f>
        <v>1654</v>
      </c>
      <c r="C1725" s="41">
        <v>24316451</v>
      </c>
      <c r="D1725" s="41" t="s">
        <v>2421</v>
      </c>
      <c r="E1725" s="41" t="s">
        <v>33</v>
      </c>
      <c r="F1725" s="41" t="s">
        <v>1102</v>
      </c>
      <c r="G1725" s="41" t="s">
        <v>28</v>
      </c>
      <c r="H1725" s="42"/>
    </row>
    <row r="1726" spans="2:8" ht="18" customHeight="1" x14ac:dyDescent="0.25">
      <c r="B1726" s="40">
        <f>SUBTOTAL(3,C$4:C1726)</f>
        <v>1655</v>
      </c>
      <c r="C1726" s="41">
        <v>24089957</v>
      </c>
      <c r="D1726" s="41" t="s">
        <v>2429</v>
      </c>
      <c r="E1726" s="41" t="s">
        <v>33</v>
      </c>
      <c r="F1726" s="41" t="s">
        <v>1102</v>
      </c>
      <c r="G1726" s="41" t="s">
        <v>28</v>
      </c>
      <c r="H1726" s="42"/>
    </row>
    <row r="1727" spans="2:8" ht="18" hidden="1" customHeight="1" x14ac:dyDescent="0.25">
      <c r="B1727" s="40">
        <f>SUBTOTAL(3,C$4:C1727)</f>
        <v>1655</v>
      </c>
      <c r="C1727" s="41">
        <v>24089637</v>
      </c>
      <c r="D1727" s="41" t="s">
        <v>1930</v>
      </c>
      <c r="E1727" s="41" t="s">
        <v>33</v>
      </c>
      <c r="F1727" s="41" t="s">
        <v>1142</v>
      </c>
      <c r="G1727" s="41" t="s">
        <v>27</v>
      </c>
      <c r="H1727" s="42" t="s">
        <v>1218</v>
      </c>
    </row>
    <row r="1728" spans="2:8" ht="18" customHeight="1" x14ac:dyDescent="0.25">
      <c r="B1728" s="40">
        <f>SUBTOTAL(3,C$4:C1728)</f>
        <v>1656</v>
      </c>
      <c r="C1728" s="41">
        <v>24104644</v>
      </c>
      <c r="D1728" s="41" t="s">
        <v>262</v>
      </c>
      <c r="E1728" s="41" t="s">
        <v>33</v>
      </c>
      <c r="F1728" s="41" t="s">
        <v>1142</v>
      </c>
      <c r="G1728" s="41" t="s">
        <v>28</v>
      </c>
      <c r="H1728" s="42"/>
    </row>
    <row r="1729" spans="2:8" ht="18" customHeight="1" x14ac:dyDescent="0.25">
      <c r="B1729" s="40">
        <f>SUBTOTAL(3,C$4:C1729)</f>
        <v>1657</v>
      </c>
      <c r="C1729" s="41">
        <v>24102869</v>
      </c>
      <c r="D1729" s="41" t="s">
        <v>1141</v>
      </c>
      <c r="E1729" s="41" t="s">
        <v>33</v>
      </c>
      <c r="F1729" s="41" t="s">
        <v>1142</v>
      </c>
      <c r="G1729" s="41" t="s">
        <v>28</v>
      </c>
      <c r="H1729" s="42"/>
    </row>
    <row r="1730" spans="2:8" ht="18" hidden="1" customHeight="1" x14ac:dyDescent="0.25">
      <c r="B1730" s="40">
        <f>SUBTOTAL(3,C$4:C1730)</f>
        <v>1657</v>
      </c>
      <c r="C1730" s="41">
        <v>24108497</v>
      </c>
      <c r="D1730" s="41" t="s">
        <v>1144</v>
      </c>
      <c r="E1730" s="41" t="s">
        <v>33</v>
      </c>
      <c r="F1730" s="41" t="s">
        <v>1142</v>
      </c>
      <c r="G1730" s="41" t="s">
        <v>27</v>
      </c>
      <c r="H1730" s="42" t="s">
        <v>1145</v>
      </c>
    </row>
    <row r="1731" spans="2:8" ht="18" customHeight="1" x14ac:dyDescent="0.25">
      <c r="B1731" s="40">
        <f>SUBTOTAL(3,C$4:C1731)</f>
        <v>1658</v>
      </c>
      <c r="C1731" s="41">
        <v>24089377</v>
      </c>
      <c r="D1731" s="41" t="s">
        <v>1219</v>
      </c>
      <c r="E1731" s="41" t="s">
        <v>33</v>
      </c>
      <c r="F1731" s="41" t="s">
        <v>1142</v>
      </c>
      <c r="G1731" s="41" t="s">
        <v>28</v>
      </c>
      <c r="H1731" s="42"/>
    </row>
    <row r="1732" spans="2:8" ht="18" customHeight="1" x14ac:dyDescent="0.25">
      <c r="B1732" s="40">
        <f>SUBTOTAL(3,C$4:C1732)</f>
        <v>1659</v>
      </c>
      <c r="C1732" s="41">
        <v>24097637</v>
      </c>
      <c r="D1732" s="41" t="s">
        <v>2222</v>
      </c>
      <c r="E1732" s="41" t="s">
        <v>33</v>
      </c>
      <c r="F1732" s="41" t="s">
        <v>1142</v>
      </c>
      <c r="G1732" s="41" t="s">
        <v>28</v>
      </c>
      <c r="H1732" s="42"/>
    </row>
    <row r="1733" spans="2:8" ht="18" customHeight="1" x14ac:dyDescent="0.25">
      <c r="B1733" s="40">
        <f>SUBTOTAL(3,C$4:C1733)</f>
        <v>1660</v>
      </c>
      <c r="C1733" s="41">
        <v>24111032</v>
      </c>
      <c r="D1733" s="41" t="s">
        <v>2238</v>
      </c>
      <c r="E1733" s="41" t="s">
        <v>33</v>
      </c>
      <c r="F1733" s="41" t="s">
        <v>1142</v>
      </c>
      <c r="G1733" s="41" t="s">
        <v>28</v>
      </c>
      <c r="H1733" s="42"/>
    </row>
    <row r="1734" spans="2:8" ht="18" customHeight="1" x14ac:dyDescent="0.25">
      <c r="B1734" s="40">
        <f>SUBTOTAL(3,C$4:C1734)</f>
        <v>1661</v>
      </c>
      <c r="C1734" s="41">
        <v>24089873</v>
      </c>
      <c r="D1734" s="41" t="s">
        <v>2249</v>
      </c>
      <c r="E1734" s="41" t="s">
        <v>33</v>
      </c>
      <c r="F1734" s="41" t="s">
        <v>1142</v>
      </c>
      <c r="G1734" s="41" t="s">
        <v>28</v>
      </c>
      <c r="H1734" s="42"/>
    </row>
    <row r="1735" spans="2:8" ht="18" customHeight="1" x14ac:dyDescent="0.25">
      <c r="B1735" s="40">
        <f>SUBTOTAL(3,C$4:C1735)</f>
        <v>1662</v>
      </c>
      <c r="C1735" s="41">
        <v>24107408</v>
      </c>
      <c r="D1735" s="41" t="s">
        <v>2367</v>
      </c>
      <c r="E1735" s="41" t="s">
        <v>33</v>
      </c>
      <c r="F1735" s="41" t="s">
        <v>1142</v>
      </c>
      <c r="G1735" s="41" t="s">
        <v>28</v>
      </c>
      <c r="H1735" s="42"/>
    </row>
    <row r="1736" spans="2:8" ht="18" customHeight="1" x14ac:dyDescent="0.25">
      <c r="B1736" s="40">
        <f>SUBTOTAL(3,C$4:C1736)</f>
        <v>1663</v>
      </c>
      <c r="C1736" s="41">
        <v>24089676</v>
      </c>
      <c r="D1736" s="41" t="s">
        <v>2372</v>
      </c>
      <c r="E1736" s="41" t="s">
        <v>33</v>
      </c>
      <c r="F1736" s="41" t="s">
        <v>1142</v>
      </c>
      <c r="G1736" s="41" t="s">
        <v>28</v>
      </c>
      <c r="H1736" s="42"/>
    </row>
    <row r="1737" spans="2:8" ht="18" hidden="1" customHeight="1" x14ac:dyDescent="0.25">
      <c r="B1737" s="40">
        <f>SUBTOTAL(3,C$4:C1737)</f>
        <v>1663</v>
      </c>
      <c r="C1737" s="41">
        <v>24107399</v>
      </c>
      <c r="D1737" s="41" t="s">
        <v>2430</v>
      </c>
      <c r="E1737" s="41" t="s">
        <v>33</v>
      </c>
      <c r="F1737" s="41" t="s">
        <v>1142</v>
      </c>
      <c r="G1737" s="41" t="s">
        <v>27</v>
      </c>
      <c r="H1737" s="42" t="s">
        <v>2431</v>
      </c>
    </row>
    <row r="1738" spans="2:8" ht="18" hidden="1" customHeight="1" x14ac:dyDescent="0.25">
      <c r="B1738" s="40">
        <f>SUBTOTAL(3,C$4:C1738)</f>
        <v>1663</v>
      </c>
      <c r="C1738" s="41">
        <v>24104050</v>
      </c>
      <c r="D1738" s="41" t="s">
        <v>2455</v>
      </c>
      <c r="E1738" s="41" t="s">
        <v>33</v>
      </c>
      <c r="F1738" s="41" t="s">
        <v>1142</v>
      </c>
      <c r="G1738" s="41" t="s">
        <v>27</v>
      </c>
      <c r="H1738" s="42"/>
    </row>
    <row r="1739" spans="2:8" ht="18" customHeight="1" x14ac:dyDescent="0.25">
      <c r="B1739" s="40">
        <f>SUBTOTAL(3,C$4:C1739)</f>
        <v>1664</v>
      </c>
      <c r="C1739" s="41">
        <v>24036368</v>
      </c>
      <c r="D1739" s="41" t="s">
        <v>1766</v>
      </c>
      <c r="E1739" s="41" t="s">
        <v>33</v>
      </c>
      <c r="F1739" s="41" t="s">
        <v>1114</v>
      </c>
      <c r="G1739" s="41" t="s">
        <v>28</v>
      </c>
      <c r="H1739" s="42"/>
    </row>
    <row r="1740" spans="2:8" ht="18" customHeight="1" x14ac:dyDescent="0.25">
      <c r="B1740" s="40">
        <f>SUBTOTAL(3,C$4:C1740)</f>
        <v>1665</v>
      </c>
      <c r="C1740" s="41">
        <v>24264892</v>
      </c>
      <c r="D1740" s="41" t="s">
        <v>1785</v>
      </c>
      <c r="E1740" s="41" t="s">
        <v>33</v>
      </c>
      <c r="F1740" s="41" t="s">
        <v>1114</v>
      </c>
      <c r="G1740" s="41" t="s">
        <v>28</v>
      </c>
      <c r="H1740" s="42"/>
    </row>
    <row r="1741" spans="2:8" ht="18" customHeight="1" x14ac:dyDescent="0.25">
      <c r="B1741" s="40">
        <f>SUBTOTAL(3,C$4:C1741)</f>
        <v>1666</v>
      </c>
      <c r="C1741" s="41">
        <v>24089943</v>
      </c>
      <c r="D1741" s="41" t="s">
        <v>1794</v>
      </c>
      <c r="E1741" s="41" t="s">
        <v>33</v>
      </c>
      <c r="F1741" s="41" t="s">
        <v>1114</v>
      </c>
      <c r="G1741" s="41" t="s">
        <v>28</v>
      </c>
      <c r="H1741" s="42"/>
    </row>
    <row r="1742" spans="2:8" ht="18" customHeight="1" x14ac:dyDescent="0.25">
      <c r="B1742" s="40">
        <f>SUBTOTAL(3,C$4:C1742)</f>
        <v>1667</v>
      </c>
      <c r="C1742" s="41">
        <v>24088522</v>
      </c>
      <c r="D1742" s="41" t="s">
        <v>1819</v>
      </c>
      <c r="E1742" s="41" t="s">
        <v>33</v>
      </c>
      <c r="F1742" s="41" t="s">
        <v>1114</v>
      </c>
      <c r="G1742" s="41" t="s">
        <v>28</v>
      </c>
      <c r="H1742" s="42"/>
    </row>
    <row r="1743" spans="2:8" ht="18" customHeight="1" x14ac:dyDescent="0.25">
      <c r="B1743" s="40">
        <f>SUBTOTAL(3,C$4:C1743)</f>
        <v>1668</v>
      </c>
      <c r="C1743" s="41">
        <v>24107128</v>
      </c>
      <c r="D1743" s="41" t="s">
        <v>1833</v>
      </c>
      <c r="E1743" s="41" t="s">
        <v>33</v>
      </c>
      <c r="F1743" s="41" t="s">
        <v>1114</v>
      </c>
      <c r="G1743" s="41" t="s">
        <v>28</v>
      </c>
      <c r="H1743" s="42"/>
    </row>
    <row r="1744" spans="2:8" ht="18" customHeight="1" x14ac:dyDescent="0.25">
      <c r="B1744" s="40">
        <f>SUBTOTAL(3,C$4:C1744)</f>
        <v>1669</v>
      </c>
      <c r="C1744" s="41">
        <v>24106016</v>
      </c>
      <c r="D1744" s="41" t="s">
        <v>1855</v>
      </c>
      <c r="E1744" s="41" t="s">
        <v>33</v>
      </c>
      <c r="F1744" s="41" t="s">
        <v>1114</v>
      </c>
      <c r="G1744" s="41" t="s">
        <v>28</v>
      </c>
      <c r="H1744" s="42"/>
    </row>
    <row r="1745" spans="2:8" ht="18" customHeight="1" x14ac:dyDescent="0.25">
      <c r="B1745" s="40">
        <f>SUBTOTAL(3,C$4:C1745)</f>
        <v>1670</v>
      </c>
      <c r="C1745" s="41">
        <v>24026328</v>
      </c>
      <c r="D1745" s="41" t="s">
        <v>1863</v>
      </c>
      <c r="E1745" s="41" t="s">
        <v>33</v>
      </c>
      <c r="F1745" s="41" t="s">
        <v>1114</v>
      </c>
      <c r="G1745" s="41" t="s">
        <v>28</v>
      </c>
      <c r="H1745" s="42"/>
    </row>
    <row r="1746" spans="2:8" ht="18" customHeight="1" x14ac:dyDescent="0.25">
      <c r="B1746" s="40">
        <f>SUBTOTAL(3,C$4:C1746)</f>
        <v>1671</v>
      </c>
      <c r="C1746" s="41">
        <v>24270705</v>
      </c>
      <c r="D1746" s="41" t="s">
        <v>1871</v>
      </c>
      <c r="E1746" s="41" t="s">
        <v>33</v>
      </c>
      <c r="F1746" s="41" t="s">
        <v>1114</v>
      </c>
      <c r="G1746" s="41" t="s">
        <v>28</v>
      </c>
      <c r="H1746" s="42"/>
    </row>
    <row r="1747" spans="2:8" ht="18" customHeight="1" x14ac:dyDescent="0.25">
      <c r="B1747" s="40">
        <f>SUBTOTAL(3,C$4:C1747)</f>
        <v>1672</v>
      </c>
      <c r="C1747" s="41">
        <v>24252438</v>
      </c>
      <c r="D1747" s="41" t="s">
        <v>1878</v>
      </c>
      <c r="E1747" s="41" t="s">
        <v>33</v>
      </c>
      <c r="F1747" s="41" t="s">
        <v>1114</v>
      </c>
      <c r="G1747" s="41" t="s">
        <v>28</v>
      </c>
      <c r="H1747" s="42"/>
    </row>
    <row r="1748" spans="2:8" ht="18" customHeight="1" x14ac:dyDescent="0.25">
      <c r="B1748" s="40">
        <f>SUBTOTAL(3,C$4:C1748)</f>
        <v>1673</v>
      </c>
      <c r="C1748" s="41">
        <v>24308804</v>
      </c>
      <c r="D1748" s="41" t="s">
        <v>1882</v>
      </c>
      <c r="E1748" s="41" t="s">
        <v>33</v>
      </c>
      <c r="F1748" s="41" t="s">
        <v>1114</v>
      </c>
      <c r="G1748" s="41" t="s">
        <v>28</v>
      </c>
      <c r="H1748" s="42"/>
    </row>
    <row r="1749" spans="2:8" ht="18" customHeight="1" x14ac:dyDescent="0.25">
      <c r="B1749" s="40">
        <f>SUBTOTAL(3,C$4:C1749)</f>
        <v>1674</v>
      </c>
      <c r="C1749" s="41">
        <v>24315682</v>
      </c>
      <c r="D1749" s="41" t="s">
        <v>1885</v>
      </c>
      <c r="E1749" s="41" t="s">
        <v>33</v>
      </c>
      <c r="F1749" s="41" t="s">
        <v>1114</v>
      </c>
      <c r="G1749" s="41" t="s">
        <v>28</v>
      </c>
      <c r="H1749" s="42"/>
    </row>
    <row r="1750" spans="2:8" ht="18" customHeight="1" x14ac:dyDescent="0.25">
      <c r="B1750" s="40">
        <f>SUBTOTAL(3,C$4:C1750)</f>
        <v>1675</v>
      </c>
      <c r="C1750" s="41">
        <v>24090313</v>
      </c>
      <c r="D1750" s="41" t="s">
        <v>1889</v>
      </c>
      <c r="E1750" s="41" t="s">
        <v>33</v>
      </c>
      <c r="F1750" s="41" t="s">
        <v>1114</v>
      </c>
      <c r="G1750" s="41" t="s">
        <v>28</v>
      </c>
      <c r="H1750" s="42"/>
    </row>
    <row r="1751" spans="2:8" ht="18" customHeight="1" x14ac:dyDescent="0.25">
      <c r="B1751" s="40">
        <f>SUBTOTAL(3,C$4:C1751)</f>
        <v>1676</v>
      </c>
      <c r="C1751" s="41">
        <v>24268171</v>
      </c>
      <c r="D1751" s="41" t="s">
        <v>1892</v>
      </c>
      <c r="E1751" s="41" t="s">
        <v>33</v>
      </c>
      <c r="F1751" s="41" t="s">
        <v>1114</v>
      </c>
      <c r="G1751" s="41" t="s">
        <v>28</v>
      </c>
      <c r="H1751" s="42"/>
    </row>
    <row r="1752" spans="2:8" ht="18" customHeight="1" x14ac:dyDescent="0.25">
      <c r="B1752" s="40">
        <f>SUBTOTAL(3,C$4:C1752)</f>
        <v>1677</v>
      </c>
      <c r="C1752" s="41">
        <v>24116695</v>
      </c>
      <c r="D1752" s="41" t="s">
        <v>1933</v>
      </c>
      <c r="E1752" s="41" t="s">
        <v>33</v>
      </c>
      <c r="F1752" s="41" t="s">
        <v>1114</v>
      </c>
      <c r="G1752" s="41" t="s">
        <v>28</v>
      </c>
      <c r="H1752" s="42"/>
    </row>
    <row r="1753" spans="2:8" ht="18" customHeight="1" x14ac:dyDescent="0.25">
      <c r="B1753" s="40">
        <f>SUBTOTAL(3,C$4:C1753)</f>
        <v>1678</v>
      </c>
      <c r="C1753" s="41">
        <v>24090692</v>
      </c>
      <c r="D1753" s="41" t="s">
        <v>1938</v>
      </c>
      <c r="E1753" s="41" t="s">
        <v>33</v>
      </c>
      <c r="F1753" s="41" t="s">
        <v>1114</v>
      </c>
      <c r="G1753" s="41" t="s">
        <v>28</v>
      </c>
      <c r="H1753" s="42"/>
    </row>
    <row r="1754" spans="2:8" ht="18" customHeight="1" x14ac:dyDescent="0.25">
      <c r="B1754" s="40">
        <f>SUBTOTAL(3,C$4:C1754)</f>
        <v>1679</v>
      </c>
      <c r="C1754" s="41">
        <v>24250571</v>
      </c>
      <c r="D1754" s="41" t="s">
        <v>1970</v>
      </c>
      <c r="E1754" s="41" t="s">
        <v>33</v>
      </c>
      <c r="F1754" s="41" t="s">
        <v>1114</v>
      </c>
      <c r="G1754" s="41" t="s">
        <v>28</v>
      </c>
      <c r="H1754" s="42"/>
    </row>
    <row r="1755" spans="2:8" ht="18" customHeight="1" x14ac:dyDescent="0.25">
      <c r="B1755" s="40">
        <f>SUBTOTAL(3,C$4:C1755)</f>
        <v>1680</v>
      </c>
      <c r="C1755" s="41">
        <v>24115679</v>
      </c>
      <c r="D1755" s="41" t="s">
        <v>2024</v>
      </c>
      <c r="E1755" s="41" t="s">
        <v>33</v>
      </c>
      <c r="F1755" s="41" t="s">
        <v>1114</v>
      </c>
      <c r="G1755" s="41" t="s">
        <v>28</v>
      </c>
      <c r="H1755" s="42"/>
    </row>
    <row r="1756" spans="2:8" ht="18" customHeight="1" x14ac:dyDescent="0.25">
      <c r="B1756" s="40">
        <f>SUBTOTAL(3,C$4:C1756)</f>
        <v>1681</v>
      </c>
      <c r="C1756" s="41">
        <v>24107186</v>
      </c>
      <c r="D1756" s="41" t="s">
        <v>2041</v>
      </c>
      <c r="E1756" s="41" t="s">
        <v>33</v>
      </c>
      <c r="F1756" s="41" t="s">
        <v>1114</v>
      </c>
      <c r="G1756" s="41" t="s">
        <v>28</v>
      </c>
      <c r="H1756" s="42"/>
    </row>
    <row r="1757" spans="2:8" ht="18" customHeight="1" x14ac:dyDescent="0.25">
      <c r="B1757" s="40">
        <f>SUBTOTAL(3,C$4:C1757)</f>
        <v>1682</v>
      </c>
      <c r="C1757" s="41">
        <v>24112170</v>
      </c>
      <c r="D1757" s="41" t="s">
        <v>2043</v>
      </c>
      <c r="E1757" s="41" t="s">
        <v>33</v>
      </c>
      <c r="F1757" s="41" t="s">
        <v>1114</v>
      </c>
      <c r="G1757" s="41" t="s">
        <v>28</v>
      </c>
      <c r="H1757" s="42"/>
    </row>
    <row r="1758" spans="2:8" ht="18" customHeight="1" x14ac:dyDescent="0.25">
      <c r="B1758" s="40">
        <f>SUBTOTAL(3,C$4:C1758)</f>
        <v>1683</v>
      </c>
      <c r="C1758" s="41">
        <v>24088512</v>
      </c>
      <c r="D1758" s="41" t="s">
        <v>2053</v>
      </c>
      <c r="E1758" s="41" t="s">
        <v>33</v>
      </c>
      <c r="F1758" s="41" t="s">
        <v>1114</v>
      </c>
      <c r="G1758" s="41" t="s">
        <v>28</v>
      </c>
      <c r="H1758" s="42"/>
    </row>
    <row r="1759" spans="2:8" ht="18" customHeight="1" x14ac:dyDescent="0.25">
      <c r="B1759" s="40">
        <f>SUBTOTAL(3,C$4:C1759)</f>
        <v>1684</v>
      </c>
      <c r="C1759" s="41">
        <v>24108260</v>
      </c>
      <c r="D1759" s="41" t="s">
        <v>2065</v>
      </c>
      <c r="E1759" s="41" t="s">
        <v>33</v>
      </c>
      <c r="F1759" s="41" t="s">
        <v>1114</v>
      </c>
      <c r="G1759" s="41" t="s">
        <v>28</v>
      </c>
      <c r="H1759" s="42"/>
    </row>
    <row r="1760" spans="2:8" ht="18" customHeight="1" x14ac:dyDescent="0.25">
      <c r="B1760" s="40">
        <f>SUBTOTAL(3,C$4:C1760)</f>
        <v>1685</v>
      </c>
      <c r="C1760" s="41">
        <v>24105011</v>
      </c>
      <c r="D1760" s="41" t="s">
        <v>2080</v>
      </c>
      <c r="E1760" s="41" t="s">
        <v>33</v>
      </c>
      <c r="F1760" s="41" t="s">
        <v>1114</v>
      </c>
      <c r="G1760" s="41" t="s">
        <v>28</v>
      </c>
      <c r="H1760" s="42"/>
    </row>
    <row r="1761" spans="2:8" ht="18" customHeight="1" x14ac:dyDescent="0.25">
      <c r="B1761" s="40">
        <f>SUBTOTAL(3,C$4:C1761)</f>
        <v>1686</v>
      </c>
      <c r="C1761" s="41">
        <v>24114101</v>
      </c>
      <c r="D1761" s="41" t="s">
        <v>1113</v>
      </c>
      <c r="E1761" s="41" t="s">
        <v>33</v>
      </c>
      <c r="F1761" s="41" t="s">
        <v>1114</v>
      </c>
      <c r="G1761" s="41" t="s">
        <v>28</v>
      </c>
      <c r="H1761" s="42"/>
    </row>
    <row r="1762" spans="2:8" ht="18" customHeight="1" x14ac:dyDescent="0.25">
      <c r="B1762" s="40">
        <f>SUBTOTAL(3,C$4:C1762)</f>
        <v>1687</v>
      </c>
      <c r="C1762" s="41">
        <v>24105877</v>
      </c>
      <c r="D1762" s="41" t="s">
        <v>1116</v>
      </c>
      <c r="E1762" s="41" t="s">
        <v>33</v>
      </c>
      <c r="F1762" s="41" t="s">
        <v>1114</v>
      </c>
      <c r="G1762" s="41" t="s">
        <v>28</v>
      </c>
      <c r="H1762" s="42"/>
    </row>
    <row r="1763" spans="2:8" ht="18" customHeight="1" x14ac:dyDescent="0.25">
      <c r="B1763" s="40">
        <f>SUBTOTAL(3,C$4:C1763)</f>
        <v>1688</v>
      </c>
      <c r="C1763" s="41">
        <v>24089317</v>
      </c>
      <c r="D1763" s="41" t="s">
        <v>1127</v>
      </c>
      <c r="E1763" s="41" t="s">
        <v>33</v>
      </c>
      <c r="F1763" s="41" t="s">
        <v>1114</v>
      </c>
      <c r="G1763" s="41" t="s">
        <v>28</v>
      </c>
      <c r="H1763" s="42"/>
    </row>
    <row r="1764" spans="2:8" ht="18" customHeight="1" x14ac:dyDescent="0.25">
      <c r="B1764" s="40">
        <f>SUBTOTAL(3,C$4:C1764)</f>
        <v>1689</v>
      </c>
      <c r="C1764" s="41">
        <v>24118021</v>
      </c>
      <c r="D1764" s="41" t="s">
        <v>1149</v>
      </c>
      <c r="E1764" s="41" t="s">
        <v>33</v>
      </c>
      <c r="F1764" s="41" t="s">
        <v>1114</v>
      </c>
      <c r="G1764" s="41" t="s">
        <v>28</v>
      </c>
      <c r="H1764" s="42"/>
    </row>
    <row r="1765" spans="2:8" ht="18" customHeight="1" x14ac:dyDescent="0.25">
      <c r="B1765" s="40">
        <f>SUBTOTAL(3,C$4:C1765)</f>
        <v>1690</v>
      </c>
      <c r="C1765" s="41">
        <v>24101904</v>
      </c>
      <c r="D1765" s="41" t="s">
        <v>1153</v>
      </c>
      <c r="E1765" s="41" t="s">
        <v>33</v>
      </c>
      <c r="F1765" s="41" t="s">
        <v>1114</v>
      </c>
      <c r="G1765" s="41" t="s">
        <v>28</v>
      </c>
      <c r="H1765" s="42"/>
    </row>
    <row r="1766" spans="2:8" ht="18" customHeight="1" x14ac:dyDescent="0.25">
      <c r="B1766" s="40">
        <f>SUBTOTAL(3,C$4:C1766)</f>
        <v>1691</v>
      </c>
      <c r="C1766" s="41">
        <v>24116575</v>
      </c>
      <c r="D1766" s="41" t="s">
        <v>1168</v>
      </c>
      <c r="E1766" s="41" t="s">
        <v>33</v>
      </c>
      <c r="F1766" s="41" t="s">
        <v>1114</v>
      </c>
      <c r="G1766" s="41" t="s">
        <v>28</v>
      </c>
      <c r="H1766" s="42"/>
    </row>
    <row r="1767" spans="2:8" ht="18" customHeight="1" x14ac:dyDescent="0.25">
      <c r="B1767" s="40">
        <f>SUBTOTAL(3,C$4:C1767)</f>
        <v>1692</v>
      </c>
      <c r="C1767" s="41">
        <v>24023608</v>
      </c>
      <c r="D1767" s="41" t="s">
        <v>1194</v>
      </c>
      <c r="E1767" s="41" t="s">
        <v>33</v>
      </c>
      <c r="F1767" s="41" t="s">
        <v>1114</v>
      </c>
      <c r="G1767" s="41" t="s">
        <v>28</v>
      </c>
      <c r="H1767" s="42"/>
    </row>
    <row r="1768" spans="2:8" ht="18" customHeight="1" x14ac:dyDescent="0.25">
      <c r="B1768" s="40">
        <f>SUBTOTAL(3,C$4:C1768)</f>
        <v>1693</v>
      </c>
      <c r="C1768" s="41">
        <v>24033395</v>
      </c>
      <c r="D1768" s="41" t="s">
        <v>1195</v>
      </c>
      <c r="E1768" s="41" t="s">
        <v>33</v>
      </c>
      <c r="F1768" s="41" t="s">
        <v>1114</v>
      </c>
      <c r="G1768" s="41" t="s">
        <v>28</v>
      </c>
      <c r="H1768" s="42"/>
    </row>
    <row r="1769" spans="2:8" ht="18" customHeight="1" x14ac:dyDescent="0.25">
      <c r="B1769" s="40">
        <f>SUBTOTAL(3,C$4:C1769)</f>
        <v>1694</v>
      </c>
      <c r="C1769" s="41">
        <v>24104622</v>
      </c>
      <c r="D1769" s="41" t="s">
        <v>2120</v>
      </c>
      <c r="E1769" s="41" t="s">
        <v>33</v>
      </c>
      <c r="F1769" s="41" t="s">
        <v>1114</v>
      </c>
      <c r="G1769" s="41" t="s">
        <v>28</v>
      </c>
      <c r="H1769" s="42"/>
    </row>
    <row r="1770" spans="2:8" ht="18" customHeight="1" x14ac:dyDescent="0.25">
      <c r="B1770" s="40">
        <f>SUBTOTAL(3,C$4:C1770)</f>
        <v>1695</v>
      </c>
      <c r="C1770" s="41">
        <v>24308843</v>
      </c>
      <c r="D1770" s="41" t="s">
        <v>2130</v>
      </c>
      <c r="E1770" s="41" t="s">
        <v>33</v>
      </c>
      <c r="F1770" s="41" t="s">
        <v>1114</v>
      </c>
      <c r="G1770" s="41" t="s">
        <v>28</v>
      </c>
      <c r="H1770" s="42"/>
    </row>
    <row r="1771" spans="2:8" ht="18" customHeight="1" x14ac:dyDescent="0.25">
      <c r="B1771" s="40">
        <f>SUBTOTAL(3,C$4:C1771)</f>
        <v>1696</v>
      </c>
      <c r="C1771" s="41">
        <v>24101556</v>
      </c>
      <c r="D1771" s="41" t="s">
        <v>2139</v>
      </c>
      <c r="E1771" s="41" t="s">
        <v>33</v>
      </c>
      <c r="F1771" s="41" t="s">
        <v>1114</v>
      </c>
      <c r="G1771" s="41" t="s">
        <v>28</v>
      </c>
      <c r="H1771" s="42"/>
    </row>
    <row r="1772" spans="2:8" ht="18" customHeight="1" x14ac:dyDescent="0.25">
      <c r="B1772" s="40">
        <f>SUBTOTAL(3,C$4:C1772)</f>
        <v>1697</v>
      </c>
      <c r="C1772" s="41">
        <v>24089034</v>
      </c>
      <c r="D1772" s="41" t="s">
        <v>2154</v>
      </c>
      <c r="E1772" s="41" t="s">
        <v>33</v>
      </c>
      <c r="F1772" s="41" t="s">
        <v>1114</v>
      </c>
      <c r="G1772" s="41" t="s">
        <v>28</v>
      </c>
      <c r="H1772" s="42"/>
    </row>
    <row r="1773" spans="2:8" ht="18" customHeight="1" x14ac:dyDescent="0.25">
      <c r="B1773" s="40">
        <f>SUBTOTAL(3,C$4:C1773)</f>
        <v>1698</v>
      </c>
      <c r="C1773" s="41">
        <v>24105867</v>
      </c>
      <c r="D1773" s="41" t="s">
        <v>2180</v>
      </c>
      <c r="E1773" s="41" t="s">
        <v>33</v>
      </c>
      <c r="F1773" s="41" t="s">
        <v>1114</v>
      </c>
      <c r="G1773" s="41" t="s">
        <v>28</v>
      </c>
      <c r="H1773" s="42"/>
    </row>
    <row r="1774" spans="2:8" ht="18" customHeight="1" x14ac:dyDescent="0.25">
      <c r="B1774" s="40">
        <f>SUBTOTAL(3,C$4:C1774)</f>
        <v>1699</v>
      </c>
      <c r="C1774" s="41">
        <v>24115676</v>
      </c>
      <c r="D1774" s="41" t="s">
        <v>2208</v>
      </c>
      <c r="E1774" s="41" t="s">
        <v>33</v>
      </c>
      <c r="F1774" s="41" t="s">
        <v>1114</v>
      </c>
      <c r="G1774" s="41" t="s">
        <v>28</v>
      </c>
      <c r="H1774" s="42"/>
    </row>
    <row r="1775" spans="2:8" ht="18" customHeight="1" x14ac:dyDescent="0.25">
      <c r="B1775" s="40">
        <f>SUBTOTAL(3,C$4:C1775)</f>
        <v>1700</v>
      </c>
      <c r="C1775" s="41">
        <v>24315920</v>
      </c>
      <c r="D1775" s="41" t="s">
        <v>2267</v>
      </c>
      <c r="E1775" s="41" t="s">
        <v>33</v>
      </c>
      <c r="F1775" s="41" t="s">
        <v>1114</v>
      </c>
      <c r="G1775" s="41" t="s">
        <v>28</v>
      </c>
      <c r="H1775" s="42"/>
    </row>
    <row r="1776" spans="2:8" ht="18" customHeight="1" x14ac:dyDescent="0.25">
      <c r="B1776" s="40">
        <f>SUBTOTAL(3,C$4:C1776)</f>
        <v>1701</v>
      </c>
      <c r="C1776" s="41">
        <v>24089656</v>
      </c>
      <c r="D1776" s="41" t="s">
        <v>2296</v>
      </c>
      <c r="E1776" s="41" t="s">
        <v>33</v>
      </c>
      <c r="F1776" s="41" t="s">
        <v>1114</v>
      </c>
      <c r="G1776" s="41" t="s">
        <v>28</v>
      </c>
      <c r="H1776" s="42"/>
    </row>
    <row r="1777" spans="2:8" ht="18" customHeight="1" x14ac:dyDescent="0.25">
      <c r="B1777" s="40">
        <f>SUBTOTAL(3,C$4:C1777)</f>
        <v>1702</v>
      </c>
      <c r="C1777" s="41">
        <v>24117620</v>
      </c>
      <c r="D1777" s="41" t="s">
        <v>2317</v>
      </c>
      <c r="E1777" s="41" t="s">
        <v>33</v>
      </c>
      <c r="F1777" s="41" t="s">
        <v>1114</v>
      </c>
      <c r="G1777" s="41" t="s">
        <v>28</v>
      </c>
      <c r="H1777" s="42"/>
    </row>
    <row r="1778" spans="2:8" ht="18" customHeight="1" x14ac:dyDescent="0.25">
      <c r="B1778" s="40">
        <f>SUBTOTAL(3,C$4:C1778)</f>
        <v>1703</v>
      </c>
      <c r="C1778" s="41">
        <v>24115565</v>
      </c>
      <c r="D1778" s="41" t="s">
        <v>2333</v>
      </c>
      <c r="E1778" s="41" t="s">
        <v>33</v>
      </c>
      <c r="F1778" s="41" t="s">
        <v>1114</v>
      </c>
      <c r="G1778" s="41" t="s">
        <v>28</v>
      </c>
      <c r="H1778" s="42"/>
    </row>
    <row r="1779" spans="2:8" ht="18" customHeight="1" x14ac:dyDescent="0.25">
      <c r="B1779" s="40">
        <f>SUBTOTAL(3,C$4:C1779)</f>
        <v>1704</v>
      </c>
      <c r="C1779" s="41">
        <v>24270711</v>
      </c>
      <c r="D1779" s="41" t="s">
        <v>2365</v>
      </c>
      <c r="E1779" s="41" t="s">
        <v>33</v>
      </c>
      <c r="F1779" s="41" t="s">
        <v>1114</v>
      </c>
      <c r="G1779" s="41" t="s">
        <v>28</v>
      </c>
      <c r="H1779" s="42"/>
    </row>
    <row r="1780" spans="2:8" ht="18" customHeight="1" x14ac:dyDescent="0.25">
      <c r="B1780" s="40">
        <f>SUBTOTAL(3,C$4:C1780)</f>
        <v>1705</v>
      </c>
      <c r="C1780" s="41">
        <v>24102457</v>
      </c>
      <c r="D1780" s="41" t="s">
        <v>2379</v>
      </c>
      <c r="E1780" s="41" t="s">
        <v>33</v>
      </c>
      <c r="F1780" s="41" t="s">
        <v>1114</v>
      </c>
      <c r="G1780" s="41" t="s">
        <v>28</v>
      </c>
      <c r="H1780" s="42"/>
    </row>
    <row r="1781" spans="2:8" ht="18" customHeight="1" x14ac:dyDescent="0.25">
      <c r="B1781" s="40">
        <f>SUBTOTAL(3,C$4:C1781)</f>
        <v>1706</v>
      </c>
      <c r="C1781" s="41">
        <v>24089905</v>
      </c>
      <c r="D1781" s="41" t="s">
        <v>2387</v>
      </c>
      <c r="E1781" s="41" t="s">
        <v>33</v>
      </c>
      <c r="F1781" s="41" t="s">
        <v>1114</v>
      </c>
      <c r="G1781" s="41" t="s">
        <v>28</v>
      </c>
      <c r="H1781" s="42"/>
    </row>
    <row r="1782" spans="2:8" ht="18" customHeight="1" x14ac:dyDescent="0.25">
      <c r="B1782" s="40">
        <f>SUBTOTAL(3,C$4:C1782)</f>
        <v>1707</v>
      </c>
      <c r="C1782" s="41">
        <v>24250488</v>
      </c>
      <c r="D1782" s="41" t="s">
        <v>2410</v>
      </c>
      <c r="E1782" s="41" t="s">
        <v>33</v>
      </c>
      <c r="F1782" s="41" t="s">
        <v>1114</v>
      </c>
      <c r="G1782" s="41" t="s">
        <v>28</v>
      </c>
      <c r="H1782" s="42"/>
    </row>
    <row r="1783" spans="2:8" ht="18" customHeight="1" x14ac:dyDescent="0.25">
      <c r="B1783" s="40">
        <f>SUBTOTAL(3,C$4:C1783)</f>
        <v>1708</v>
      </c>
      <c r="C1783" s="41">
        <v>24089403</v>
      </c>
      <c r="D1783" s="41" t="s">
        <v>2414</v>
      </c>
      <c r="E1783" s="41" t="s">
        <v>33</v>
      </c>
      <c r="F1783" s="41" t="s">
        <v>1114</v>
      </c>
      <c r="G1783" s="41" t="s">
        <v>28</v>
      </c>
      <c r="H1783" s="42"/>
    </row>
    <row r="1784" spans="2:8" ht="18" customHeight="1" x14ac:dyDescent="0.25">
      <c r="B1784" s="40">
        <f>SUBTOTAL(3,C$4:C1784)</f>
        <v>1709</v>
      </c>
      <c r="C1784" s="41">
        <v>24325420</v>
      </c>
      <c r="D1784" s="41" t="s">
        <v>2439</v>
      </c>
      <c r="E1784" s="41" t="s">
        <v>33</v>
      </c>
      <c r="F1784" s="41" t="s">
        <v>1114</v>
      </c>
      <c r="G1784" s="41" t="s">
        <v>28</v>
      </c>
      <c r="H1784" s="42"/>
    </row>
    <row r="1785" spans="2:8" ht="18" hidden="1" customHeight="1" x14ac:dyDescent="0.25">
      <c r="B1785" s="40">
        <f>SUBTOTAL(3,C$4:C1785)</f>
        <v>1709</v>
      </c>
      <c r="C1785" s="41">
        <v>24114901</v>
      </c>
      <c r="D1785" s="41" t="s">
        <v>1767</v>
      </c>
      <c r="E1785" s="41" t="s">
        <v>33</v>
      </c>
      <c r="F1785" s="41" t="s">
        <v>1124</v>
      </c>
      <c r="G1785" s="41" t="s">
        <v>27</v>
      </c>
      <c r="H1785" s="42" t="s">
        <v>1148</v>
      </c>
    </row>
    <row r="1786" spans="2:8" ht="18" customHeight="1" x14ac:dyDescent="0.25">
      <c r="B1786" s="40">
        <f>SUBTOTAL(3,C$4:C1786)</f>
        <v>1710</v>
      </c>
      <c r="C1786" s="41">
        <v>24264887</v>
      </c>
      <c r="D1786" s="41" t="s">
        <v>1768</v>
      </c>
      <c r="E1786" s="41" t="s">
        <v>33</v>
      </c>
      <c r="F1786" s="41" t="s">
        <v>1124</v>
      </c>
      <c r="G1786" s="41" t="s">
        <v>28</v>
      </c>
      <c r="H1786" s="42"/>
    </row>
    <row r="1787" spans="2:8" ht="18" customHeight="1" x14ac:dyDescent="0.25">
      <c r="B1787" s="40">
        <f>SUBTOTAL(3,C$4:C1787)</f>
        <v>1711</v>
      </c>
      <c r="C1787" s="41">
        <v>24106681</v>
      </c>
      <c r="D1787" s="41" t="s">
        <v>1784</v>
      </c>
      <c r="E1787" s="41" t="s">
        <v>33</v>
      </c>
      <c r="F1787" s="41" t="s">
        <v>1124</v>
      </c>
      <c r="G1787" s="41" t="s">
        <v>28</v>
      </c>
      <c r="H1787" s="42"/>
    </row>
    <row r="1788" spans="2:8" ht="18" customHeight="1" x14ac:dyDescent="0.25">
      <c r="B1788" s="40">
        <f>SUBTOTAL(3,C$4:C1788)</f>
        <v>1712</v>
      </c>
      <c r="C1788" s="41">
        <v>24113747</v>
      </c>
      <c r="D1788" s="41" t="s">
        <v>1817</v>
      </c>
      <c r="E1788" s="41" t="s">
        <v>33</v>
      </c>
      <c r="F1788" s="41" t="s">
        <v>1124</v>
      </c>
      <c r="G1788" s="41" t="s">
        <v>28</v>
      </c>
      <c r="H1788" s="42"/>
    </row>
    <row r="1789" spans="2:8" ht="18" customHeight="1" x14ac:dyDescent="0.25">
      <c r="B1789" s="40">
        <f>SUBTOTAL(3,C$4:C1789)</f>
        <v>1713</v>
      </c>
      <c r="C1789" s="41">
        <v>24089004</v>
      </c>
      <c r="D1789" s="41" t="s">
        <v>1864</v>
      </c>
      <c r="E1789" s="41" t="s">
        <v>33</v>
      </c>
      <c r="F1789" s="41" t="s">
        <v>1124</v>
      </c>
      <c r="G1789" s="41" t="s">
        <v>28</v>
      </c>
      <c r="H1789" s="42"/>
    </row>
    <row r="1790" spans="2:8" ht="18" customHeight="1" x14ac:dyDescent="0.25">
      <c r="B1790" s="40">
        <f>SUBTOTAL(3,C$4:C1790)</f>
        <v>1714</v>
      </c>
      <c r="C1790" s="41">
        <v>24115642</v>
      </c>
      <c r="D1790" s="41" t="s">
        <v>1874</v>
      </c>
      <c r="E1790" s="41" t="s">
        <v>33</v>
      </c>
      <c r="F1790" s="41" t="s">
        <v>1124</v>
      </c>
      <c r="G1790" s="41" t="s">
        <v>28</v>
      </c>
      <c r="H1790" s="42"/>
    </row>
    <row r="1791" spans="2:8" ht="18" customHeight="1" x14ac:dyDescent="0.25">
      <c r="B1791" s="40">
        <f>SUBTOTAL(3,C$4:C1791)</f>
        <v>1715</v>
      </c>
      <c r="C1791" s="41">
        <v>24089828</v>
      </c>
      <c r="D1791" s="41" t="s">
        <v>1881</v>
      </c>
      <c r="E1791" s="41" t="s">
        <v>33</v>
      </c>
      <c r="F1791" s="41" t="s">
        <v>1124</v>
      </c>
      <c r="G1791" s="41" t="s">
        <v>28</v>
      </c>
      <c r="H1791" s="42"/>
    </row>
    <row r="1792" spans="2:8" ht="18" customHeight="1" x14ac:dyDescent="0.25">
      <c r="B1792" s="40">
        <f>SUBTOTAL(3,C$4:C1792)</f>
        <v>1716</v>
      </c>
      <c r="C1792" s="41">
        <v>24026951</v>
      </c>
      <c r="D1792" s="41" t="s">
        <v>1906</v>
      </c>
      <c r="E1792" s="41" t="s">
        <v>33</v>
      </c>
      <c r="F1792" s="41" t="s">
        <v>1124</v>
      </c>
      <c r="G1792" s="41" t="s">
        <v>28</v>
      </c>
      <c r="H1792" s="42"/>
    </row>
    <row r="1793" spans="2:8" ht="18" customHeight="1" x14ac:dyDescent="0.25">
      <c r="B1793" s="40">
        <f>SUBTOTAL(3,C$4:C1793)</f>
        <v>1717</v>
      </c>
      <c r="C1793" s="41">
        <v>24312614</v>
      </c>
      <c r="D1793" s="41" t="s">
        <v>1939</v>
      </c>
      <c r="E1793" s="41" t="s">
        <v>33</v>
      </c>
      <c r="F1793" s="41" t="s">
        <v>1124</v>
      </c>
      <c r="G1793" s="41" t="s">
        <v>28</v>
      </c>
      <c r="H1793" s="42"/>
    </row>
    <row r="1794" spans="2:8" ht="18" customHeight="1" x14ac:dyDescent="0.25">
      <c r="B1794" s="40">
        <f>SUBTOTAL(3,C$4:C1794)</f>
        <v>1718</v>
      </c>
      <c r="C1794" s="41">
        <v>24115861</v>
      </c>
      <c r="D1794" s="41" t="s">
        <v>1958</v>
      </c>
      <c r="E1794" s="41" t="s">
        <v>33</v>
      </c>
      <c r="F1794" s="41" t="s">
        <v>1124</v>
      </c>
      <c r="G1794" s="41" t="s">
        <v>28</v>
      </c>
      <c r="H1794" s="42"/>
    </row>
    <row r="1795" spans="2:8" ht="18" customHeight="1" x14ac:dyDescent="0.25">
      <c r="B1795" s="40">
        <f>SUBTOTAL(3,C$4:C1795)</f>
        <v>1719</v>
      </c>
      <c r="C1795" s="41">
        <v>24261635</v>
      </c>
      <c r="D1795" s="41" t="s">
        <v>1966</v>
      </c>
      <c r="E1795" s="41" t="s">
        <v>33</v>
      </c>
      <c r="F1795" s="41" t="s">
        <v>1124</v>
      </c>
      <c r="G1795" s="41" t="s">
        <v>28</v>
      </c>
      <c r="H1795" s="42"/>
    </row>
    <row r="1796" spans="2:8" ht="18" customHeight="1" x14ac:dyDescent="0.25">
      <c r="B1796" s="40">
        <f>SUBTOTAL(3,C$4:C1796)</f>
        <v>1720</v>
      </c>
      <c r="C1796" s="41">
        <v>24250450</v>
      </c>
      <c r="D1796" s="41" t="s">
        <v>1988</v>
      </c>
      <c r="E1796" s="41" t="s">
        <v>33</v>
      </c>
      <c r="F1796" s="41" t="s">
        <v>1124</v>
      </c>
      <c r="G1796" s="41" t="s">
        <v>28</v>
      </c>
      <c r="H1796" s="42"/>
    </row>
    <row r="1797" spans="2:8" ht="18" customHeight="1" x14ac:dyDescent="0.25">
      <c r="B1797" s="40">
        <f>SUBTOTAL(3,C$4:C1797)</f>
        <v>1721</v>
      </c>
      <c r="C1797" s="41">
        <v>24250869</v>
      </c>
      <c r="D1797" s="41" t="s">
        <v>2027</v>
      </c>
      <c r="E1797" s="41" t="s">
        <v>33</v>
      </c>
      <c r="F1797" s="41" t="s">
        <v>1124</v>
      </c>
      <c r="G1797" s="41" t="s">
        <v>28</v>
      </c>
      <c r="H1797" s="42"/>
    </row>
    <row r="1798" spans="2:8" ht="18" customHeight="1" x14ac:dyDescent="0.25">
      <c r="B1798" s="40">
        <f>SUBTOTAL(3,C$4:C1798)</f>
        <v>1722</v>
      </c>
      <c r="C1798" s="41">
        <v>24096168</v>
      </c>
      <c r="D1798" s="41" t="s">
        <v>2034</v>
      </c>
      <c r="E1798" s="41" t="s">
        <v>33</v>
      </c>
      <c r="F1798" s="41" t="s">
        <v>1124</v>
      </c>
      <c r="G1798" s="41" t="s">
        <v>28</v>
      </c>
      <c r="H1798" s="42"/>
    </row>
    <row r="1799" spans="2:8" ht="18" customHeight="1" x14ac:dyDescent="0.25">
      <c r="B1799" s="40">
        <f>SUBTOTAL(3,C$4:C1799)</f>
        <v>1723</v>
      </c>
      <c r="C1799" s="41">
        <v>24106721</v>
      </c>
      <c r="D1799" s="41" t="s">
        <v>2047</v>
      </c>
      <c r="E1799" s="41" t="s">
        <v>33</v>
      </c>
      <c r="F1799" s="41" t="s">
        <v>1124</v>
      </c>
      <c r="G1799" s="41" t="s">
        <v>28</v>
      </c>
      <c r="H1799" s="42"/>
    </row>
    <row r="1800" spans="2:8" ht="18" customHeight="1" x14ac:dyDescent="0.25">
      <c r="B1800" s="40">
        <f>SUBTOTAL(3,C$4:C1800)</f>
        <v>1724</v>
      </c>
      <c r="C1800" s="41">
        <v>24088749</v>
      </c>
      <c r="D1800" s="41" t="s">
        <v>2046</v>
      </c>
      <c r="E1800" s="41" t="s">
        <v>33</v>
      </c>
      <c r="F1800" s="41" t="s">
        <v>1124</v>
      </c>
      <c r="G1800" s="41" t="s">
        <v>28</v>
      </c>
      <c r="H1800" s="42"/>
    </row>
    <row r="1801" spans="2:8" ht="18" customHeight="1" x14ac:dyDescent="0.25">
      <c r="B1801" s="40">
        <f>SUBTOTAL(3,C$4:C1801)</f>
        <v>1725</v>
      </c>
      <c r="C1801" s="41">
        <v>24096980</v>
      </c>
      <c r="D1801" s="41" t="s">
        <v>2079</v>
      </c>
      <c r="E1801" s="41" t="s">
        <v>33</v>
      </c>
      <c r="F1801" s="41" t="s">
        <v>1124</v>
      </c>
      <c r="G1801" s="41" t="s">
        <v>28</v>
      </c>
      <c r="H1801" s="42"/>
    </row>
    <row r="1802" spans="2:8" ht="18" customHeight="1" x14ac:dyDescent="0.25">
      <c r="B1802" s="40">
        <f>SUBTOTAL(3,C$4:C1802)</f>
        <v>1726</v>
      </c>
      <c r="C1802" s="41">
        <v>24264942</v>
      </c>
      <c r="D1802" s="41" t="s">
        <v>2090</v>
      </c>
      <c r="E1802" s="41" t="s">
        <v>33</v>
      </c>
      <c r="F1802" s="41" t="s">
        <v>1124</v>
      </c>
      <c r="G1802" s="41" t="s">
        <v>28</v>
      </c>
      <c r="H1802" s="42"/>
    </row>
    <row r="1803" spans="2:8" ht="18" customHeight="1" x14ac:dyDescent="0.25">
      <c r="B1803" s="40">
        <f>SUBTOTAL(3,C$4:C1803)</f>
        <v>1727</v>
      </c>
      <c r="C1803" s="41">
        <v>24334737</v>
      </c>
      <c r="D1803" s="41" t="s">
        <v>2094</v>
      </c>
      <c r="E1803" s="41" t="s">
        <v>33</v>
      </c>
      <c r="F1803" s="41" t="s">
        <v>1124</v>
      </c>
      <c r="G1803" s="41" t="s">
        <v>28</v>
      </c>
      <c r="H1803" s="42"/>
    </row>
    <row r="1804" spans="2:8" ht="18" customHeight="1" x14ac:dyDescent="0.25">
      <c r="B1804" s="40">
        <f>SUBTOTAL(3,C$4:C1804)</f>
        <v>1728</v>
      </c>
      <c r="C1804" s="41">
        <v>24250881</v>
      </c>
      <c r="D1804" s="41" t="s">
        <v>1123</v>
      </c>
      <c r="E1804" s="41" t="s">
        <v>33</v>
      </c>
      <c r="F1804" s="41" t="s">
        <v>1124</v>
      </c>
      <c r="G1804" s="41" t="s">
        <v>28</v>
      </c>
      <c r="H1804" s="42"/>
    </row>
    <row r="1805" spans="2:8" ht="18" customHeight="1" x14ac:dyDescent="0.25">
      <c r="B1805" s="40">
        <f>SUBTOTAL(3,C$4:C1805)</f>
        <v>1729</v>
      </c>
      <c r="C1805" s="41">
        <v>24088884</v>
      </c>
      <c r="D1805" s="41" t="s">
        <v>1150</v>
      </c>
      <c r="E1805" s="41" t="s">
        <v>33</v>
      </c>
      <c r="F1805" s="41" t="s">
        <v>1124</v>
      </c>
      <c r="G1805" s="41" t="s">
        <v>28</v>
      </c>
      <c r="H1805" s="42"/>
    </row>
    <row r="1806" spans="2:8" ht="18" customHeight="1" x14ac:dyDescent="0.25">
      <c r="B1806" s="40">
        <f>SUBTOTAL(3,C$4:C1806)</f>
        <v>1730</v>
      </c>
      <c r="C1806" s="41">
        <v>24324541</v>
      </c>
      <c r="D1806" s="41" t="s">
        <v>1167</v>
      </c>
      <c r="E1806" s="41" t="s">
        <v>33</v>
      </c>
      <c r="F1806" s="41" t="s">
        <v>1124</v>
      </c>
      <c r="G1806" s="41" t="s">
        <v>28</v>
      </c>
      <c r="H1806" s="42"/>
    </row>
    <row r="1807" spans="2:8" ht="18" customHeight="1" x14ac:dyDescent="0.25">
      <c r="B1807" s="40">
        <f>SUBTOTAL(3,C$4:C1807)</f>
        <v>1731</v>
      </c>
      <c r="C1807" s="41">
        <v>24114332</v>
      </c>
      <c r="D1807" s="41" t="s">
        <v>1199</v>
      </c>
      <c r="E1807" s="41" t="s">
        <v>33</v>
      </c>
      <c r="F1807" s="41" t="s">
        <v>1124</v>
      </c>
      <c r="G1807" s="41" t="s">
        <v>28</v>
      </c>
      <c r="H1807" s="42"/>
    </row>
    <row r="1808" spans="2:8" ht="18" hidden="1" customHeight="1" x14ac:dyDescent="0.25">
      <c r="B1808" s="40">
        <f>SUBTOTAL(3,C$4:C1808)</f>
        <v>1731</v>
      </c>
      <c r="C1808" s="41">
        <v>24112882</v>
      </c>
      <c r="D1808" s="41" t="s">
        <v>1200</v>
      </c>
      <c r="E1808" s="41" t="s">
        <v>33</v>
      </c>
      <c r="F1808" s="41" t="s">
        <v>1124</v>
      </c>
      <c r="G1808" s="41" t="s">
        <v>27</v>
      </c>
      <c r="H1808" s="42" t="s">
        <v>1179</v>
      </c>
    </row>
    <row r="1809" spans="2:8" ht="18" customHeight="1" x14ac:dyDescent="0.25">
      <c r="B1809" s="40">
        <f>SUBTOTAL(3,C$4:C1809)</f>
        <v>1732</v>
      </c>
      <c r="C1809" s="41">
        <v>24088623</v>
      </c>
      <c r="D1809" s="41" t="s">
        <v>1212</v>
      </c>
      <c r="E1809" s="41" t="s">
        <v>33</v>
      </c>
      <c r="F1809" s="41" t="s">
        <v>1124</v>
      </c>
      <c r="G1809" s="41" t="s">
        <v>28</v>
      </c>
      <c r="H1809" s="42"/>
    </row>
    <row r="1810" spans="2:8" ht="18" customHeight="1" x14ac:dyDescent="0.25">
      <c r="B1810" s="40">
        <f>SUBTOTAL(3,C$4:C1810)</f>
        <v>1733</v>
      </c>
      <c r="C1810" s="41">
        <v>24020015</v>
      </c>
      <c r="D1810" s="41" t="s">
        <v>1221</v>
      </c>
      <c r="E1810" s="41" t="s">
        <v>33</v>
      </c>
      <c r="F1810" s="41" t="s">
        <v>1124</v>
      </c>
      <c r="G1810" s="41" t="s">
        <v>28</v>
      </c>
      <c r="H1810" s="42"/>
    </row>
    <row r="1811" spans="2:8" ht="18" customHeight="1" x14ac:dyDescent="0.25">
      <c r="B1811" s="40">
        <f>SUBTOTAL(3,C$4:C1811)</f>
        <v>1734</v>
      </c>
      <c r="C1811" s="41">
        <v>24177938</v>
      </c>
      <c r="D1811" s="41" t="s">
        <v>2105</v>
      </c>
      <c r="E1811" s="41" t="s">
        <v>33</v>
      </c>
      <c r="F1811" s="41" t="s">
        <v>1124</v>
      </c>
      <c r="G1811" s="41" t="s">
        <v>28</v>
      </c>
      <c r="H1811" s="42"/>
    </row>
    <row r="1812" spans="2:8" ht="18" customHeight="1" x14ac:dyDescent="0.25">
      <c r="B1812" s="40">
        <f>SUBTOTAL(3,C$4:C1812)</f>
        <v>1735</v>
      </c>
      <c r="C1812" s="41">
        <v>24310972</v>
      </c>
      <c r="D1812" s="41" t="s">
        <v>2135</v>
      </c>
      <c r="E1812" s="41" t="s">
        <v>33</v>
      </c>
      <c r="F1812" s="41" t="s">
        <v>1124</v>
      </c>
      <c r="G1812" s="41" t="s">
        <v>28</v>
      </c>
      <c r="H1812" s="42"/>
    </row>
    <row r="1813" spans="2:8" ht="18" hidden="1" customHeight="1" x14ac:dyDescent="0.25">
      <c r="B1813" s="40">
        <f>SUBTOTAL(3,C$4:C1813)</f>
        <v>1735</v>
      </c>
      <c r="C1813" s="41">
        <v>24109271</v>
      </c>
      <c r="D1813" s="41" t="s">
        <v>2144</v>
      </c>
      <c r="E1813" s="41" t="s">
        <v>33</v>
      </c>
      <c r="F1813" s="41" t="s">
        <v>1124</v>
      </c>
      <c r="G1813" s="41" t="s">
        <v>27</v>
      </c>
      <c r="H1813" s="42"/>
    </row>
    <row r="1814" spans="2:8" ht="18" customHeight="1" x14ac:dyDescent="0.25">
      <c r="B1814" s="40">
        <f>SUBTOTAL(3,C$4:C1814)</f>
        <v>1736</v>
      </c>
      <c r="C1814" s="41">
        <v>24105006</v>
      </c>
      <c r="D1814" s="41" t="s">
        <v>2149</v>
      </c>
      <c r="E1814" s="41" t="s">
        <v>33</v>
      </c>
      <c r="F1814" s="41" t="s">
        <v>1124</v>
      </c>
      <c r="G1814" s="41" t="s">
        <v>28</v>
      </c>
      <c r="H1814" s="42"/>
    </row>
    <row r="1815" spans="2:8" ht="18" customHeight="1" x14ac:dyDescent="0.25">
      <c r="B1815" s="40">
        <f>SUBTOTAL(3,C$4:C1815)</f>
        <v>1737</v>
      </c>
      <c r="C1815" s="41">
        <v>24334809</v>
      </c>
      <c r="D1815" s="41" t="s">
        <v>2169</v>
      </c>
      <c r="E1815" s="41" t="s">
        <v>33</v>
      </c>
      <c r="F1815" s="41" t="s">
        <v>1124</v>
      </c>
      <c r="G1815" s="41" t="s">
        <v>28</v>
      </c>
      <c r="H1815" s="42" t="s">
        <v>2170</v>
      </c>
    </row>
    <row r="1816" spans="2:8" ht="18" customHeight="1" x14ac:dyDescent="0.25">
      <c r="B1816" s="40">
        <f>SUBTOTAL(3,C$4:C1816)</f>
        <v>1738</v>
      </c>
      <c r="C1816" s="41">
        <v>24114486</v>
      </c>
      <c r="D1816" s="41" t="s">
        <v>2227</v>
      </c>
      <c r="E1816" s="41" t="s">
        <v>33</v>
      </c>
      <c r="F1816" s="41" t="s">
        <v>1124</v>
      </c>
      <c r="G1816" s="41" t="s">
        <v>28</v>
      </c>
      <c r="H1816" s="42"/>
    </row>
    <row r="1817" spans="2:8" ht="18" customHeight="1" x14ac:dyDescent="0.25">
      <c r="B1817" s="40">
        <f>SUBTOTAL(3,C$4:C1817)</f>
        <v>1739</v>
      </c>
      <c r="C1817" s="41">
        <v>24255999</v>
      </c>
      <c r="D1817" s="41" t="s">
        <v>2252</v>
      </c>
      <c r="E1817" s="41" t="s">
        <v>33</v>
      </c>
      <c r="F1817" s="41" t="s">
        <v>1124</v>
      </c>
      <c r="G1817" s="41" t="s">
        <v>28</v>
      </c>
      <c r="H1817" s="42"/>
    </row>
    <row r="1818" spans="2:8" ht="18" customHeight="1" x14ac:dyDescent="0.25">
      <c r="B1818" s="40">
        <f>SUBTOTAL(3,C$4:C1818)</f>
        <v>1740</v>
      </c>
      <c r="C1818" s="41">
        <v>24104853</v>
      </c>
      <c r="D1818" s="41" t="s">
        <v>2275</v>
      </c>
      <c r="E1818" s="41" t="s">
        <v>33</v>
      </c>
      <c r="F1818" s="41" t="s">
        <v>1124</v>
      </c>
      <c r="G1818" s="41" t="s">
        <v>28</v>
      </c>
      <c r="H1818" s="42"/>
    </row>
    <row r="1819" spans="2:8" ht="18" customHeight="1" x14ac:dyDescent="0.25">
      <c r="B1819" s="40">
        <f>SUBTOTAL(3,C$4:C1819)</f>
        <v>1741</v>
      </c>
      <c r="C1819" s="41">
        <v>24311006</v>
      </c>
      <c r="D1819" s="41" t="s">
        <v>2288</v>
      </c>
      <c r="E1819" s="41" t="s">
        <v>33</v>
      </c>
      <c r="F1819" s="41" t="s">
        <v>1124</v>
      </c>
      <c r="G1819" s="41" t="s">
        <v>28</v>
      </c>
      <c r="H1819" s="42"/>
    </row>
    <row r="1820" spans="2:8" ht="18" customHeight="1" x14ac:dyDescent="0.25">
      <c r="B1820" s="40">
        <f>SUBTOTAL(3,C$4:C1820)</f>
        <v>1742</v>
      </c>
      <c r="C1820" s="41">
        <v>24024732</v>
      </c>
      <c r="D1820" s="41" t="s">
        <v>2295</v>
      </c>
      <c r="E1820" s="41" t="s">
        <v>33</v>
      </c>
      <c r="F1820" s="41" t="s">
        <v>1124</v>
      </c>
      <c r="G1820" s="41" t="s">
        <v>28</v>
      </c>
      <c r="H1820" s="42"/>
    </row>
    <row r="1821" spans="2:8" ht="18" customHeight="1" x14ac:dyDescent="0.25">
      <c r="B1821" s="40">
        <f>SUBTOTAL(3,C$4:C1821)</f>
        <v>1743</v>
      </c>
      <c r="C1821" s="41">
        <v>24105825</v>
      </c>
      <c r="D1821" s="41" t="s">
        <v>2305</v>
      </c>
      <c r="E1821" s="41" t="s">
        <v>33</v>
      </c>
      <c r="F1821" s="41" t="s">
        <v>1124</v>
      </c>
      <c r="G1821" s="41" t="s">
        <v>28</v>
      </c>
      <c r="H1821" s="42"/>
    </row>
    <row r="1822" spans="2:8" ht="18" customHeight="1" x14ac:dyDescent="0.25">
      <c r="B1822" s="40">
        <f>SUBTOTAL(3,C$4:C1822)</f>
        <v>1744</v>
      </c>
      <c r="C1822" s="41">
        <v>24310969</v>
      </c>
      <c r="D1822" s="41" t="s">
        <v>2335</v>
      </c>
      <c r="E1822" s="41" t="s">
        <v>33</v>
      </c>
      <c r="F1822" s="41" t="s">
        <v>1124</v>
      </c>
      <c r="G1822" s="41" t="s">
        <v>28</v>
      </c>
      <c r="H1822" s="42"/>
    </row>
    <row r="1823" spans="2:8" ht="18" customHeight="1" x14ac:dyDescent="0.25">
      <c r="B1823" s="40">
        <f>SUBTOTAL(3,C$4:C1823)</f>
        <v>1745</v>
      </c>
      <c r="C1823" s="41">
        <v>24315926</v>
      </c>
      <c r="D1823" s="41" t="s">
        <v>2341</v>
      </c>
      <c r="E1823" s="41" t="s">
        <v>33</v>
      </c>
      <c r="F1823" s="41" t="s">
        <v>1124</v>
      </c>
      <c r="G1823" s="41" t="s">
        <v>28</v>
      </c>
      <c r="H1823" s="42"/>
    </row>
    <row r="1824" spans="2:8" ht="18" customHeight="1" x14ac:dyDescent="0.25">
      <c r="B1824" s="40">
        <f>SUBTOTAL(3,C$4:C1824)</f>
        <v>1746</v>
      </c>
      <c r="C1824" s="41">
        <v>24098528</v>
      </c>
      <c r="D1824" s="41" t="s">
        <v>2399</v>
      </c>
      <c r="E1824" s="41" t="s">
        <v>33</v>
      </c>
      <c r="F1824" s="41" t="s">
        <v>1124</v>
      </c>
      <c r="G1824" s="41" t="s">
        <v>28</v>
      </c>
      <c r="H1824" s="42"/>
    </row>
    <row r="1825" spans="2:8" ht="18" customHeight="1" x14ac:dyDescent="0.25">
      <c r="B1825" s="40">
        <f>SUBTOTAL(3,C$4:C1825)</f>
        <v>1747</v>
      </c>
      <c r="C1825" s="41">
        <v>24110534</v>
      </c>
      <c r="D1825" s="41" t="s">
        <v>2415</v>
      </c>
      <c r="E1825" s="41" t="s">
        <v>33</v>
      </c>
      <c r="F1825" s="41" t="s">
        <v>1124</v>
      </c>
      <c r="G1825" s="41" t="s">
        <v>28</v>
      </c>
      <c r="H1825" s="42"/>
    </row>
    <row r="1826" spans="2:8" ht="18" customHeight="1" x14ac:dyDescent="0.25">
      <c r="B1826" s="40">
        <f>SUBTOTAL(3,C$4:C1826)</f>
        <v>1748</v>
      </c>
      <c r="C1826" s="41">
        <v>24025917</v>
      </c>
      <c r="D1826" s="41" t="s">
        <v>1900</v>
      </c>
      <c r="E1826" s="41" t="s">
        <v>33</v>
      </c>
      <c r="F1826" s="41" t="s">
        <v>1901</v>
      </c>
      <c r="G1826" s="41" t="s">
        <v>24</v>
      </c>
      <c r="H1826" s="42"/>
    </row>
    <row r="1827" spans="2:8" ht="18" hidden="1" customHeight="1" x14ac:dyDescent="0.25">
      <c r="B1827" s="40">
        <f>SUBTOTAL(3,C$4:C1827)</f>
        <v>1748</v>
      </c>
      <c r="C1827" s="41">
        <v>24089281</v>
      </c>
      <c r="D1827" s="41" t="s">
        <v>1978</v>
      </c>
      <c r="E1827" s="41" t="s">
        <v>33</v>
      </c>
      <c r="F1827" s="41" t="s">
        <v>1901</v>
      </c>
      <c r="G1827" s="41" t="s">
        <v>27</v>
      </c>
      <c r="H1827" s="42" t="s">
        <v>1979</v>
      </c>
    </row>
    <row r="1828" spans="2:8" ht="18" customHeight="1" x14ac:dyDescent="0.25">
      <c r="B1828" s="40">
        <f>SUBTOTAL(3,C$4:C1828)</f>
        <v>1749</v>
      </c>
      <c r="C1828" s="41">
        <v>24022187</v>
      </c>
      <c r="D1828" s="41" t="s">
        <v>2251</v>
      </c>
      <c r="E1828" s="41" t="s">
        <v>33</v>
      </c>
      <c r="F1828" s="41" t="s">
        <v>1901</v>
      </c>
      <c r="G1828" s="41" t="s">
        <v>28</v>
      </c>
      <c r="H1828" s="42"/>
    </row>
    <row r="1829" spans="2:8" ht="18" customHeight="1" x14ac:dyDescent="0.25">
      <c r="B1829" s="40">
        <f>SUBTOTAL(3,C$4:C1829)</f>
        <v>1750</v>
      </c>
      <c r="C1829" s="41">
        <v>24109468</v>
      </c>
      <c r="D1829" s="41" t="s">
        <v>1876</v>
      </c>
      <c r="E1829" s="41" t="s">
        <v>33</v>
      </c>
      <c r="F1829" s="41" t="s">
        <v>1877</v>
      </c>
      <c r="G1829" s="41" t="s">
        <v>28</v>
      </c>
      <c r="H1829" s="42"/>
    </row>
    <row r="1830" spans="2:8" ht="18" hidden="1" customHeight="1" x14ac:dyDescent="0.25">
      <c r="B1830" s="40">
        <f>SUBTOTAL(3,C$4:C1830)</f>
        <v>1750</v>
      </c>
      <c r="C1830" s="41">
        <v>24115475</v>
      </c>
      <c r="D1830" s="41" t="s">
        <v>2196</v>
      </c>
      <c r="E1830" s="41" t="s">
        <v>33</v>
      </c>
      <c r="F1830" s="41" t="s">
        <v>1877</v>
      </c>
      <c r="G1830" s="41" t="s">
        <v>27</v>
      </c>
      <c r="H1830" s="42" t="s">
        <v>2197</v>
      </c>
    </row>
    <row r="1831" spans="2:8" ht="18" customHeight="1" x14ac:dyDescent="0.25">
      <c r="B1831" s="40">
        <f>SUBTOTAL(3,C$4:C1831)</f>
        <v>1751</v>
      </c>
      <c r="C1831" s="41">
        <v>24098164</v>
      </c>
      <c r="D1831" s="41" t="s">
        <v>2422</v>
      </c>
      <c r="E1831" s="41" t="s">
        <v>33</v>
      </c>
      <c r="F1831" s="41" t="s">
        <v>1877</v>
      </c>
      <c r="G1831" s="41" t="s">
        <v>28</v>
      </c>
      <c r="H1831" s="42"/>
    </row>
    <row r="1832" spans="2:8" ht="18" hidden="1" customHeight="1" x14ac:dyDescent="0.25">
      <c r="B1832" s="40">
        <f>SUBTOTAL(3,C$4:C1832)</f>
        <v>1751</v>
      </c>
      <c r="C1832" s="41">
        <v>24106462</v>
      </c>
      <c r="D1832" s="41" t="s">
        <v>1809</v>
      </c>
      <c r="E1832" s="41" t="s">
        <v>33</v>
      </c>
      <c r="F1832" s="41" t="s">
        <v>1810</v>
      </c>
      <c r="G1832" s="41" t="s">
        <v>27</v>
      </c>
      <c r="H1832" s="42"/>
    </row>
    <row r="1833" spans="2:8" ht="18" hidden="1" customHeight="1" x14ac:dyDescent="0.25">
      <c r="B1833" s="40">
        <f>SUBTOTAL(3,C$4:C1833)</f>
        <v>1751</v>
      </c>
      <c r="C1833" s="41">
        <v>24089383</v>
      </c>
      <c r="D1833" s="41" t="s">
        <v>2124</v>
      </c>
      <c r="E1833" s="41" t="s">
        <v>33</v>
      </c>
      <c r="F1833" s="41" t="s">
        <v>1810</v>
      </c>
      <c r="G1833" s="41" t="s">
        <v>27</v>
      </c>
      <c r="H1833" s="42"/>
    </row>
    <row r="1834" spans="2:8" ht="18" hidden="1" customHeight="1" x14ac:dyDescent="0.25">
      <c r="B1834" s="40">
        <f>SUBTOTAL(3,C$4:C1834)</f>
        <v>1751</v>
      </c>
      <c r="C1834" s="41">
        <v>24115966</v>
      </c>
      <c r="D1834" s="41" t="s">
        <v>2126</v>
      </c>
      <c r="E1834" s="41" t="s">
        <v>33</v>
      </c>
      <c r="F1834" s="41" t="s">
        <v>1810</v>
      </c>
      <c r="G1834" s="41" t="s">
        <v>27</v>
      </c>
      <c r="H1834" s="42"/>
    </row>
    <row r="1835" spans="2:8" ht="18" hidden="1" customHeight="1" x14ac:dyDescent="0.25">
      <c r="B1835" s="40">
        <f>SUBTOTAL(3,C$4:C1835)</f>
        <v>1751</v>
      </c>
      <c r="C1835" s="41">
        <v>24089690</v>
      </c>
      <c r="D1835" s="41" t="s">
        <v>2225</v>
      </c>
      <c r="E1835" s="41" t="s">
        <v>33</v>
      </c>
      <c r="F1835" s="41" t="s">
        <v>1810</v>
      </c>
      <c r="G1835" s="41" t="s">
        <v>27</v>
      </c>
      <c r="H1835" s="42"/>
    </row>
    <row r="1836" spans="2:8" ht="18" customHeight="1" x14ac:dyDescent="0.25">
      <c r="B1836" s="40">
        <f>SUBTOTAL(3,C$4:C1836)</f>
        <v>1752</v>
      </c>
      <c r="C1836" s="41">
        <v>24108135</v>
      </c>
      <c r="D1836" s="41" t="s">
        <v>2271</v>
      </c>
      <c r="E1836" s="41" t="s">
        <v>33</v>
      </c>
      <c r="F1836" s="41" t="s">
        <v>1810</v>
      </c>
      <c r="G1836" s="41" t="s">
        <v>28</v>
      </c>
      <c r="H1836" s="42"/>
    </row>
    <row r="1837" spans="2:8" ht="18" hidden="1" customHeight="1" x14ac:dyDescent="0.25">
      <c r="B1837" s="40">
        <f>SUBTOTAL(3,C$4:C1837)</f>
        <v>1752</v>
      </c>
      <c r="C1837" s="41">
        <v>24114240</v>
      </c>
      <c r="D1837" s="41" t="s">
        <v>1241</v>
      </c>
      <c r="E1837" s="41" t="s">
        <v>33</v>
      </c>
      <c r="F1837" s="41" t="s">
        <v>1242</v>
      </c>
      <c r="G1837" s="41" t="s">
        <v>27</v>
      </c>
      <c r="H1837" s="42"/>
    </row>
    <row r="1838" spans="2:8" ht="18" hidden="1" customHeight="1" x14ac:dyDescent="0.25">
      <c r="B1838" s="40">
        <f>SUBTOTAL(3,C$4:C1838)</f>
        <v>1752</v>
      </c>
      <c r="C1838" s="41">
        <v>24104099</v>
      </c>
      <c r="D1838" s="41" t="s">
        <v>2247</v>
      </c>
      <c r="E1838" s="41" t="s">
        <v>33</v>
      </c>
      <c r="F1838" s="41" t="s">
        <v>1242</v>
      </c>
      <c r="G1838" s="41" t="s">
        <v>27</v>
      </c>
      <c r="H1838" s="42"/>
    </row>
    <row r="1839" spans="2:8" ht="18" hidden="1" customHeight="1" x14ac:dyDescent="0.25">
      <c r="B1839" s="40">
        <f>SUBTOTAL(3,C$4:C1839)</f>
        <v>1752</v>
      </c>
      <c r="C1839" s="41">
        <v>24108217</v>
      </c>
      <c r="D1839" s="41" t="s">
        <v>2412</v>
      </c>
      <c r="E1839" s="41" t="s">
        <v>33</v>
      </c>
      <c r="F1839" s="41" t="s">
        <v>1242</v>
      </c>
      <c r="G1839" s="41" t="s">
        <v>27</v>
      </c>
      <c r="H1839" s="42"/>
    </row>
    <row r="1840" spans="2:8" ht="18" hidden="1" customHeight="1" x14ac:dyDescent="0.25">
      <c r="B1840" s="40">
        <f>SUBTOTAL(3,C$4:C1840)</f>
        <v>1752</v>
      </c>
      <c r="C1840" s="41">
        <v>24112382</v>
      </c>
      <c r="D1840" s="41" t="s">
        <v>2425</v>
      </c>
      <c r="E1840" s="41" t="s">
        <v>33</v>
      </c>
      <c r="F1840" s="41" t="s">
        <v>1242</v>
      </c>
      <c r="G1840" s="41" t="s">
        <v>27</v>
      </c>
      <c r="H1840" s="42"/>
    </row>
    <row r="1841" spans="2:8" ht="18" customHeight="1" x14ac:dyDescent="0.25">
      <c r="B1841" s="40">
        <f>SUBTOTAL(3,C$4:C1841)</f>
        <v>1753</v>
      </c>
      <c r="C1841" s="41">
        <v>24096546</v>
      </c>
      <c r="D1841" s="41" t="s">
        <v>1830</v>
      </c>
      <c r="E1841" s="41" t="s">
        <v>33</v>
      </c>
      <c r="F1841" s="41" t="s">
        <v>1831</v>
      </c>
      <c r="G1841" s="41" t="s">
        <v>28</v>
      </c>
      <c r="H1841" s="42"/>
    </row>
    <row r="1842" spans="2:8" ht="18" customHeight="1" x14ac:dyDescent="0.25">
      <c r="B1842" s="40">
        <f>SUBTOTAL(3,C$4:C1842)</f>
        <v>1754</v>
      </c>
      <c r="C1842" s="41">
        <v>24028225</v>
      </c>
      <c r="D1842" s="41" t="s">
        <v>2109</v>
      </c>
      <c r="E1842" s="41" t="s">
        <v>33</v>
      </c>
      <c r="F1842" s="41" t="s">
        <v>2110</v>
      </c>
      <c r="G1842" s="41" t="s">
        <v>28</v>
      </c>
      <c r="H1842" s="42"/>
    </row>
    <row r="1843" spans="2:8" ht="18" customHeight="1" x14ac:dyDescent="0.25">
      <c r="B1843" s="40">
        <f>SUBTOTAL(3,C$4:C1843)</f>
        <v>1755</v>
      </c>
      <c r="C1843" s="41">
        <v>24108615</v>
      </c>
      <c r="D1843" s="41" t="s">
        <v>2209</v>
      </c>
      <c r="E1843" s="41" t="s">
        <v>33</v>
      </c>
      <c r="F1843" s="41" t="s">
        <v>2110</v>
      </c>
      <c r="G1843" s="41" t="s">
        <v>28</v>
      </c>
      <c r="H1843" s="42"/>
    </row>
    <row r="1844" spans="2:8" ht="18" customHeight="1" x14ac:dyDescent="0.25">
      <c r="B1844" s="40">
        <f>SUBTOTAL(3,C$4:C1844)</f>
        <v>1756</v>
      </c>
      <c r="C1844" s="41">
        <v>24344451</v>
      </c>
      <c r="D1844" s="41" t="s">
        <v>1883</v>
      </c>
      <c r="E1844" s="41" t="s">
        <v>33</v>
      </c>
      <c r="F1844" s="41" t="s">
        <v>1884</v>
      </c>
      <c r="G1844" s="41" t="s">
        <v>28</v>
      </c>
      <c r="H1844" s="42"/>
    </row>
    <row r="1845" spans="2:8" ht="18" customHeight="1" x14ac:dyDescent="0.25">
      <c r="B1845" s="40">
        <f>SUBTOTAL(3,C$4:C1845)</f>
        <v>1757</v>
      </c>
      <c r="C1845" s="41">
        <v>24177792</v>
      </c>
      <c r="D1845" s="41" t="s">
        <v>1763</v>
      </c>
      <c r="E1845" s="41" t="s">
        <v>33</v>
      </c>
      <c r="F1845" s="41" t="s">
        <v>1764</v>
      </c>
      <c r="G1845" s="41" t="s">
        <v>28</v>
      </c>
      <c r="H1845" s="42"/>
    </row>
    <row r="1846" spans="2:8" ht="18" customHeight="1" x14ac:dyDescent="0.25">
      <c r="B1846" s="40">
        <f>SUBTOTAL(3,C$4:C1846)</f>
        <v>1758</v>
      </c>
      <c r="C1846" s="41">
        <v>24270685</v>
      </c>
      <c r="D1846" s="41" t="s">
        <v>1940</v>
      </c>
      <c r="E1846" s="41" t="s">
        <v>33</v>
      </c>
      <c r="F1846" s="41" t="s">
        <v>1764</v>
      </c>
      <c r="G1846" s="41" t="s">
        <v>28</v>
      </c>
      <c r="H1846" s="42"/>
    </row>
    <row r="1847" spans="2:8" ht="18" customHeight="1" x14ac:dyDescent="0.25">
      <c r="B1847" s="40">
        <f>SUBTOTAL(3,C$4:C1847)</f>
        <v>1759</v>
      </c>
      <c r="C1847" s="41">
        <v>24330651</v>
      </c>
      <c r="D1847" s="41" t="s">
        <v>2198</v>
      </c>
      <c r="E1847" s="41" t="s">
        <v>33</v>
      </c>
      <c r="F1847" s="41" t="s">
        <v>1764</v>
      </c>
      <c r="G1847" s="41" t="s">
        <v>28</v>
      </c>
      <c r="H1847" s="42"/>
    </row>
    <row r="1848" spans="2:8" ht="18" customHeight="1" x14ac:dyDescent="0.25">
      <c r="B1848" s="40">
        <f>SUBTOTAL(3,C$4:C1848)</f>
        <v>1760</v>
      </c>
      <c r="C1848" s="41">
        <v>24118011</v>
      </c>
      <c r="D1848" s="41" t="s">
        <v>1840</v>
      </c>
      <c r="E1848" s="41" t="s">
        <v>33</v>
      </c>
      <c r="F1848" s="41" t="s">
        <v>1841</v>
      </c>
      <c r="G1848" s="41" t="s">
        <v>28</v>
      </c>
      <c r="H1848" s="42"/>
    </row>
    <row r="1849" spans="2:8" ht="18" customHeight="1" x14ac:dyDescent="0.25">
      <c r="B1849" s="40">
        <f>SUBTOTAL(3,C$4:C1849)</f>
        <v>1761</v>
      </c>
      <c r="C1849" s="41">
        <v>24330548</v>
      </c>
      <c r="D1849" s="41" t="s">
        <v>1869</v>
      </c>
      <c r="E1849" s="41" t="s">
        <v>33</v>
      </c>
      <c r="F1849" s="41" t="s">
        <v>1841</v>
      </c>
      <c r="G1849" s="41" t="s">
        <v>28</v>
      </c>
      <c r="H1849" s="42"/>
    </row>
    <row r="1850" spans="2:8" ht="18" customHeight="1" x14ac:dyDescent="0.25">
      <c r="B1850" s="40">
        <f>SUBTOTAL(3,C$4:C1850)</f>
        <v>1762</v>
      </c>
      <c r="C1850" s="41">
        <v>24344446</v>
      </c>
      <c r="D1850" s="41" t="s">
        <v>2155</v>
      </c>
      <c r="E1850" s="41" t="s">
        <v>33</v>
      </c>
      <c r="F1850" s="41" t="s">
        <v>1841</v>
      </c>
      <c r="G1850" s="41" t="s">
        <v>28</v>
      </c>
      <c r="H1850" s="42"/>
    </row>
    <row r="1851" spans="2:8" ht="18" customHeight="1" x14ac:dyDescent="0.25">
      <c r="B1851" s="40">
        <f>SUBTOTAL(3,C$4:C1851)</f>
        <v>1763</v>
      </c>
      <c r="C1851" s="41">
        <v>24242867</v>
      </c>
      <c r="D1851" s="41" t="s">
        <v>1800</v>
      </c>
      <c r="E1851" s="41" t="s">
        <v>33</v>
      </c>
      <c r="F1851" s="41" t="s">
        <v>1189</v>
      </c>
      <c r="G1851" s="41" t="s">
        <v>28</v>
      </c>
      <c r="H1851" s="42"/>
    </row>
    <row r="1852" spans="2:8" ht="18" customHeight="1" x14ac:dyDescent="0.25">
      <c r="B1852" s="40">
        <f>SUBTOTAL(3,C$4:C1852)</f>
        <v>1764</v>
      </c>
      <c r="C1852" s="41">
        <v>24250552</v>
      </c>
      <c r="D1852" s="41" t="s">
        <v>1856</v>
      </c>
      <c r="E1852" s="41" t="s">
        <v>33</v>
      </c>
      <c r="F1852" s="41" t="s">
        <v>1189</v>
      </c>
      <c r="G1852" s="41" t="s">
        <v>28</v>
      </c>
      <c r="H1852" s="42"/>
    </row>
    <row r="1853" spans="2:8" ht="18" customHeight="1" x14ac:dyDescent="0.25">
      <c r="B1853" s="40">
        <f>SUBTOTAL(3,C$4:C1853)</f>
        <v>1765</v>
      </c>
      <c r="C1853" s="41">
        <v>24330530</v>
      </c>
      <c r="D1853" s="41" t="s">
        <v>2070</v>
      </c>
      <c r="E1853" s="41" t="s">
        <v>33</v>
      </c>
      <c r="F1853" s="41" t="s">
        <v>1189</v>
      </c>
      <c r="G1853" s="41" t="s">
        <v>28</v>
      </c>
      <c r="H1853" s="42"/>
    </row>
    <row r="1854" spans="2:8" ht="18" customHeight="1" x14ac:dyDescent="0.25">
      <c r="B1854" s="40">
        <f>SUBTOTAL(3,C$4:C1854)</f>
        <v>1766</v>
      </c>
      <c r="C1854" s="41">
        <v>24310960</v>
      </c>
      <c r="D1854" s="41" t="s">
        <v>2072</v>
      </c>
      <c r="E1854" s="41" t="s">
        <v>33</v>
      </c>
      <c r="F1854" s="41" t="s">
        <v>1189</v>
      </c>
      <c r="G1854" s="41" t="s">
        <v>28</v>
      </c>
      <c r="H1854" s="42"/>
    </row>
    <row r="1855" spans="2:8" ht="18" customHeight="1" x14ac:dyDescent="0.25">
      <c r="B1855" s="40">
        <f>SUBTOTAL(3,C$4:C1855)</f>
        <v>1767</v>
      </c>
      <c r="C1855" s="41">
        <v>24340320</v>
      </c>
      <c r="D1855" s="41" t="s">
        <v>2083</v>
      </c>
      <c r="E1855" s="41" t="s">
        <v>33</v>
      </c>
      <c r="F1855" s="41" t="s">
        <v>1189</v>
      </c>
      <c r="G1855" s="41" t="s">
        <v>28</v>
      </c>
      <c r="H1855" s="42"/>
    </row>
    <row r="1856" spans="2:8" ht="18" customHeight="1" x14ac:dyDescent="0.25">
      <c r="B1856" s="40">
        <f>SUBTOTAL(3,C$4:C1856)</f>
        <v>1768</v>
      </c>
      <c r="C1856" s="41">
        <v>24331298</v>
      </c>
      <c r="D1856" s="41" t="s">
        <v>1188</v>
      </c>
      <c r="E1856" s="41" t="s">
        <v>33</v>
      </c>
      <c r="F1856" s="41" t="s">
        <v>1189</v>
      </c>
      <c r="G1856" s="41" t="s">
        <v>28</v>
      </c>
      <c r="H1856" s="42"/>
    </row>
    <row r="1857" spans="2:8" ht="18" customHeight="1" x14ac:dyDescent="0.25">
      <c r="B1857" s="40">
        <f>SUBTOTAL(3,C$4:C1857)</f>
        <v>1769</v>
      </c>
      <c r="C1857" s="41">
        <v>24031235</v>
      </c>
      <c r="D1857" s="41" t="s">
        <v>1986</v>
      </c>
      <c r="E1857" s="41" t="s">
        <v>33</v>
      </c>
      <c r="F1857" s="41" t="s">
        <v>1987</v>
      </c>
      <c r="G1857" s="41" t="s">
        <v>28</v>
      </c>
      <c r="H1857" s="42" t="s">
        <v>201</v>
      </c>
    </row>
    <row r="1858" spans="2:8" ht="18" hidden="1" customHeight="1" x14ac:dyDescent="0.25">
      <c r="B1858" s="40">
        <f>SUBTOTAL(3,C$4:C1858)</f>
        <v>1769</v>
      </c>
      <c r="C1858" s="41">
        <v>24106706</v>
      </c>
      <c r="D1858" s="41" t="s">
        <v>2234</v>
      </c>
      <c r="E1858" s="41" t="s">
        <v>33</v>
      </c>
      <c r="F1858" s="41" t="s">
        <v>1987</v>
      </c>
      <c r="G1858" s="41" t="s">
        <v>27</v>
      </c>
      <c r="H1858" s="42" t="s">
        <v>1179</v>
      </c>
    </row>
    <row r="1859" spans="2:8" ht="18" customHeight="1" x14ac:dyDescent="0.25">
      <c r="B1859" s="40">
        <f>SUBTOTAL(3,C$4:C1859)</f>
        <v>1770</v>
      </c>
      <c r="C1859" s="41">
        <v>24343015</v>
      </c>
      <c r="D1859" s="41" t="s">
        <v>1974</v>
      </c>
      <c r="E1859" s="41" t="s">
        <v>33</v>
      </c>
      <c r="F1859" s="41" t="s">
        <v>1975</v>
      </c>
      <c r="G1859" s="41" t="s">
        <v>28</v>
      </c>
      <c r="H1859" s="42"/>
    </row>
    <row r="1860" spans="2:8" ht="18" hidden="1" customHeight="1" x14ac:dyDescent="0.25">
      <c r="B1860" s="40">
        <f>SUBTOTAL(3,C$4:C1860)</f>
        <v>1770</v>
      </c>
      <c r="C1860" s="41">
        <v>24118067</v>
      </c>
      <c r="D1860" s="41" t="s">
        <v>2201</v>
      </c>
      <c r="E1860" s="41" t="s">
        <v>33</v>
      </c>
      <c r="F1860" s="41" t="s">
        <v>1975</v>
      </c>
      <c r="G1860" s="41" t="s">
        <v>27</v>
      </c>
      <c r="H1860" s="42" t="s">
        <v>2202</v>
      </c>
    </row>
    <row r="1861" spans="2:8" ht="18" customHeight="1" x14ac:dyDescent="0.25">
      <c r="B1861" s="40">
        <f>SUBTOTAL(3,C$4:C1861)</f>
        <v>1771</v>
      </c>
      <c r="C1861" s="41">
        <v>24100869</v>
      </c>
      <c r="D1861" s="41" t="s">
        <v>2393</v>
      </c>
      <c r="E1861" s="41" t="s">
        <v>33</v>
      </c>
      <c r="F1861" s="41" t="s">
        <v>2394</v>
      </c>
      <c r="G1861" s="41" t="s">
        <v>28</v>
      </c>
      <c r="H1861" s="42"/>
    </row>
    <row r="1862" spans="2:8" ht="18" customHeight="1" x14ac:dyDescent="0.25">
      <c r="B1862" s="40">
        <f>SUBTOTAL(3,C$4:C1862)</f>
        <v>1772</v>
      </c>
      <c r="C1862" s="41">
        <v>24360710</v>
      </c>
      <c r="D1862" s="41" t="s">
        <v>1872</v>
      </c>
      <c r="E1862" s="41" t="s">
        <v>33</v>
      </c>
      <c r="F1862" s="41" t="s">
        <v>1873</v>
      </c>
      <c r="G1862" s="41" t="s">
        <v>28</v>
      </c>
      <c r="H1862" s="42"/>
    </row>
    <row r="1863" spans="2:8" ht="18" customHeight="1" x14ac:dyDescent="0.25">
      <c r="B1863" s="40">
        <f>SUBTOTAL(3,C$4:C1863)</f>
        <v>1773</v>
      </c>
      <c r="C1863" s="41">
        <v>24151586</v>
      </c>
      <c r="D1863" s="41" t="s">
        <v>2000</v>
      </c>
      <c r="E1863" s="41" t="s">
        <v>33</v>
      </c>
      <c r="F1863" s="41" t="s">
        <v>1246</v>
      </c>
      <c r="G1863" s="41" t="s">
        <v>28</v>
      </c>
      <c r="H1863" s="42"/>
    </row>
    <row r="1864" spans="2:8" ht="18" customHeight="1" x14ac:dyDescent="0.25">
      <c r="B1864" s="40">
        <f>SUBTOTAL(3,C$4:C1864)</f>
        <v>1774</v>
      </c>
      <c r="C1864" s="41">
        <v>24310948</v>
      </c>
      <c r="D1864" s="41" t="s">
        <v>2060</v>
      </c>
      <c r="E1864" s="41" t="s">
        <v>33</v>
      </c>
      <c r="F1864" s="41" t="s">
        <v>1246</v>
      </c>
      <c r="G1864" s="41" t="s">
        <v>28</v>
      </c>
      <c r="H1864" s="42"/>
    </row>
    <row r="1865" spans="2:8" ht="18" customHeight="1" x14ac:dyDescent="0.25">
      <c r="B1865" s="40">
        <f>SUBTOTAL(3,C$4:C1865)</f>
        <v>1775</v>
      </c>
      <c r="C1865" s="41">
        <v>24334760</v>
      </c>
      <c r="D1865" s="41" t="s">
        <v>2103</v>
      </c>
      <c r="E1865" s="41" t="s">
        <v>33</v>
      </c>
      <c r="F1865" s="41" t="s">
        <v>1246</v>
      </c>
      <c r="G1865" s="41" t="s">
        <v>28</v>
      </c>
      <c r="H1865" s="42"/>
    </row>
    <row r="1866" spans="2:8" ht="18" customHeight="1" x14ac:dyDescent="0.25">
      <c r="B1866" s="40">
        <f>SUBTOTAL(3,C$4:C1866)</f>
        <v>1776</v>
      </c>
      <c r="C1866" s="41">
        <v>24334805</v>
      </c>
      <c r="D1866" s="41" t="s">
        <v>1245</v>
      </c>
      <c r="E1866" s="41" t="s">
        <v>33</v>
      </c>
      <c r="F1866" s="41" t="s">
        <v>1246</v>
      </c>
      <c r="G1866" s="41" t="s">
        <v>28</v>
      </c>
      <c r="H1866" s="42"/>
    </row>
    <row r="1867" spans="2:8" ht="18" customHeight="1" x14ac:dyDescent="0.25">
      <c r="B1867" s="40">
        <f>SUBTOTAL(3,C$4:C1867)</f>
        <v>1777</v>
      </c>
      <c r="C1867" s="41">
        <v>24316001</v>
      </c>
      <c r="D1867" s="41" t="s">
        <v>1254</v>
      </c>
      <c r="E1867" s="41" t="s">
        <v>33</v>
      </c>
      <c r="F1867" s="41" t="s">
        <v>1246</v>
      </c>
      <c r="G1867" s="41" t="s">
        <v>28</v>
      </c>
      <c r="H1867" s="42"/>
    </row>
    <row r="1868" spans="2:8" ht="18" customHeight="1" x14ac:dyDescent="0.25">
      <c r="B1868" s="40">
        <f>SUBTOTAL(3,C$4:C1868)</f>
        <v>1778</v>
      </c>
      <c r="C1868" s="41">
        <v>24219023</v>
      </c>
      <c r="D1868" s="41" t="s">
        <v>2163</v>
      </c>
      <c r="E1868" s="41" t="s">
        <v>33</v>
      </c>
      <c r="F1868" s="41" t="s">
        <v>1246</v>
      </c>
      <c r="G1868" s="41" t="s">
        <v>28</v>
      </c>
      <c r="H1868" s="42"/>
    </row>
    <row r="1869" spans="2:8" ht="18" customHeight="1" x14ac:dyDescent="0.25">
      <c r="B1869" s="40">
        <f>SUBTOTAL(3,C$4:C1869)</f>
        <v>1779</v>
      </c>
      <c r="C1869" s="41">
        <v>24112829</v>
      </c>
      <c r="D1869" s="41" t="s">
        <v>1106</v>
      </c>
      <c r="E1869" s="41" t="s">
        <v>33</v>
      </c>
      <c r="F1869" s="41" t="s">
        <v>1107</v>
      </c>
      <c r="G1869" s="41" t="s">
        <v>28</v>
      </c>
      <c r="H1869" s="42"/>
    </row>
    <row r="1870" spans="2:8" ht="18" customHeight="1" x14ac:dyDescent="0.25">
      <c r="B1870" s="40">
        <f>SUBTOTAL(3,C$4:C1870)</f>
        <v>1780</v>
      </c>
      <c r="C1870" s="41">
        <v>24111942</v>
      </c>
      <c r="D1870" s="41" t="s">
        <v>2248</v>
      </c>
      <c r="E1870" s="41" t="s">
        <v>33</v>
      </c>
      <c r="F1870" s="41" t="s">
        <v>1107</v>
      </c>
      <c r="G1870" s="41" t="s">
        <v>28</v>
      </c>
      <c r="H1870" s="42"/>
    </row>
    <row r="1871" spans="2:8" ht="18" customHeight="1" x14ac:dyDescent="0.25">
      <c r="B1871" s="40">
        <f>SUBTOTAL(3,C$4:C1871)</f>
        <v>1781</v>
      </c>
      <c r="C1871" s="41">
        <v>24089018</v>
      </c>
      <c r="D1871" s="41" t="s">
        <v>2085</v>
      </c>
      <c r="E1871" s="41" t="s">
        <v>33</v>
      </c>
      <c r="F1871" s="41" t="s">
        <v>2086</v>
      </c>
      <c r="G1871" s="41" t="s">
        <v>28</v>
      </c>
      <c r="H1871" s="42"/>
    </row>
    <row r="1872" spans="2:8" ht="18" customHeight="1" x14ac:dyDescent="0.25">
      <c r="B1872" s="40">
        <f>SUBTOTAL(3,C$4:C1872)</f>
        <v>1782</v>
      </c>
      <c r="C1872" s="41">
        <v>24089646</v>
      </c>
      <c r="D1872" s="41" t="s">
        <v>2216</v>
      </c>
      <c r="E1872" s="41" t="s">
        <v>33</v>
      </c>
      <c r="F1872" s="41" t="s">
        <v>2086</v>
      </c>
      <c r="G1872" s="41" t="s">
        <v>28</v>
      </c>
      <c r="H1872" s="42"/>
    </row>
    <row r="1873" spans="2:8" ht="18" customHeight="1" x14ac:dyDescent="0.25">
      <c r="B1873" s="40">
        <f>SUBTOTAL(3,C$4:C1873)</f>
        <v>1783</v>
      </c>
      <c r="C1873" s="41">
        <v>24104299</v>
      </c>
      <c r="D1873" s="41" t="s">
        <v>2408</v>
      </c>
      <c r="E1873" s="41" t="s">
        <v>33</v>
      </c>
      <c r="F1873" s="41" t="s">
        <v>2086</v>
      </c>
      <c r="G1873" s="41" t="s">
        <v>28</v>
      </c>
      <c r="H1873" s="42"/>
    </row>
    <row r="1874" spans="2:8" ht="18" customHeight="1" x14ac:dyDescent="0.25">
      <c r="B1874" s="40">
        <f>SUBTOTAL(3,C$4:C1874)</f>
        <v>1784</v>
      </c>
      <c r="C1874" s="41">
        <v>24112042</v>
      </c>
      <c r="D1874" s="41" t="s">
        <v>1952</v>
      </c>
      <c r="E1874" s="41" t="s">
        <v>33</v>
      </c>
      <c r="F1874" s="41" t="s">
        <v>1953</v>
      </c>
      <c r="G1874" s="41" t="s">
        <v>28</v>
      </c>
      <c r="H1874" s="42"/>
    </row>
    <row r="1875" spans="2:8" ht="18" customHeight="1" x14ac:dyDescent="0.25">
      <c r="B1875" s="40">
        <f>SUBTOTAL(3,C$4:C1875)</f>
        <v>1785</v>
      </c>
      <c r="C1875" s="41">
        <v>24260340</v>
      </c>
      <c r="D1875" s="41" t="s">
        <v>1787</v>
      </c>
      <c r="E1875" s="41" t="s">
        <v>33</v>
      </c>
      <c r="F1875" s="41" t="s">
        <v>1172</v>
      </c>
      <c r="G1875" s="41" t="s">
        <v>28</v>
      </c>
      <c r="H1875" s="42"/>
    </row>
    <row r="1876" spans="2:8" ht="18" customHeight="1" x14ac:dyDescent="0.25">
      <c r="B1876" s="40">
        <f>SUBTOTAL(3,C$4:C1876)</f>
        <v>1786</v>
      </c>
      <c r="C1876" s="41">
        <v>24105135</v>
      </c>
      <c r="D1876" s="41" t="s">
        <v>1837</v>
      </c>
      <c r="E1876" s="41" t="s">
        <v>33</v>
      </c>
      <c r="F1876" s="41" t="s">
        <v>1172</v>
      </c>
      <c r="G1876" s="41" t="s">
        <v>28</v>
      </c>
      <c r="H1876" s="42"/>
    </row>
    <row r="1877" spans="2:8" ht="18" customHeight="1" x14ac:dyDescent="0.25">
      <c r="B1877" s="40">
        <f>SUBTOTAL(3,C$4:C1877)</f>
        <v>1787</v>
      </c>
      <c r="C1877" s="41">
        <v>24101229</v>
      </c>
      <c r="D1877" s="41" t="s">
        <v>1895</v>
      </c>
      <c r="E1877" s="41" t="s">
        <v>33</v>
      </c>
      <c r="F1877" s="41" t="s">
        <v>1172</v>
      </c>
      <c r="G1877" s="41" t="s">
        <v>28</v>
      </c>
      <c r="H1877" s="42"/>
    </row>
    <row r="1878" spans="2:8" ht="18" customHeight="1" x14ac:dyDescent="0.25">
      <c r="B1878" s="40">
        <f>SUBTOTAL(3,C$4:C1878)</f>
        <v>1788</v>
      </c>
      <c r="C1878" s="41">
        <v>24024383</v>
      </c>
      <c r="D1878" s="41" t="s">
        <v>1929</v>
      </c>
      <c r="E1878" s="41" t="s">
        <v>33</v>
      </c>
      <c r="F1878" s="41" t="s">
        <v>1172</v>
      </c>
      <c r="G1878" s="41" t="s">
        <v>28</v>
      </c>
      <c r="H1878" s="42"/>
    </row>
    <row r="1879" spans="2:8" ht="18" customHeight="1" x14ac:dyDescent="0.25">
      <c r="B1879" s="40">
        <f>SUBTOTAL(3,C$4:C1879)</f>
        <v>1789</v>
      </c>
      <c r="C1879" s="41">
        <v>24104136</v>
      </c>
      <c r="D1879" s="41" t="s">
        <v>2064</v>
      </c>
      <c r="E1879" s="41" t="s">
        <v>33</v>
      </c>
      <c r="F1879" s="41" t="s">
        <v>1172</v>
      </c>
      <c r="G1879" s="41" t="s">
        <v>28</v>
      </c>
      <c r="H1879" s="42"/>
    </row>
    <row r="1880" spans="2:8" ht="18" customHeight="1" x14ac:dyDescent="0.25">
      <c r="B1880" s="40">
        <f>SUBTOTAL(3,C$4:C1880)</f>
        <v>1790</v>
      </c>
      <c r="C1880" s="41">
        <v>24102861</v>
      </c>
      <c r="D1880" s="41" t="s">
        <v>1171</v>
      </c>
      <c r="E1880" s="41" t="s">
        <v>33</v>
      </c>
      <c r="F1880" s="41" t="s">
        <v>1172</v>
      </c>
      <c r="G1880" s="41" t="s">
        <v>28</v>
      </c>
      <c r="H1880" s="42"/>
    </row>
    <row r="1881" spans="2:8" ht="18" hidden="1" customHeight="1" x14ac:dyDescent="0.25">
      <c r="B1881" s="40">
        <f>SUBTOTAL(3,C$4:C1881)</f>
        <v>1790</v>
      </c>
      <c r="C1881" s="41">
        <v>24088516</v>
      </c>
      <c r="D1881" s="41" t="s">
        <v>532</v>
      </c>
      <c r="E1881" s="41" t="s">
        <v>33</v>
      </c>
      <c r="F1881" s="41" t="s">
        <v>1172</v>
      </c>
      <c r="G1881" s="41" t="s">
        <v>27</v>
      </c>
      <c r="H1881" s="42" t="s">
        <v>1179</v>
      </c>
    </row>
    <row r="1882" spans="2:8" ht="18" hidden="1" customHeight="1" x14ac:dyDescent="0.25">
      <c r="B1882" s="40">
        <f>SUBTOTAL(3,C$4:C1882)</f>
        <v>1790</v>
      </c>
      <c r="C1882" s="41">
        <v>24088934</v>
      </c>
      <c r="D1882" s="41" t="s">
        <v>1231</v>
      </c>
      <c r="E1882" s="41" t="s">
        <v>33</v>
      </c>
      <c r="F1882" s="41" t="s">
        <v>1172</v>
      </c>
      <c r="G1882" s="41" t="s">
        <v>27</v>
      </c>
      <c r="H1882" s="42"/>
    </row>
    <row r="1883" spans="2:8" ht="18" customHeight="1" x14ac:dyDescent="0.25">
      <c r="B1883" s="40">
        <f>SUBTOTAL(3,C$4:C1883)</f>
        <v>1791</v>
      </c>
      <c r="C1883" s="41">
        <v>24089970</v>
      </c>
      <c r="D1883" s="41" t="s">
        <v>1271</v>
      </c>
      <c r="E1883" s="41" t="s">
        <v>33</v>
      </c>
      <c r="F1883" s="41" t="s">
        <v>1172</v>
      </c>
      <c r="G1883" s="41" t="s">
        <v>28</v>
      </c>
      <c r="H1883" s="42"/>
    </row>
    <row r="1884" spans="2:8" ht="18" customHeight="1" x14ac:dyDescent="0.25">
      <c r="B1884" s="40">
        <f>SUBTOTAL(3,C$4:C1884)</f>
        <v>1792</v>
      </c>
      <c r="C1884" s="41">
        <v>24099933</v>
      </c>
      <c r="D1884" s="41" t="s">
        <v>2125</v>
      </c>
      <c r="E1884" s="41" t="s">
        <v>33</v>
      </c>
      <c r="F1884" s="41" t="s">
        <v>1172</v>
      </c>
      <c r="G1884" s="41" t="s">
        <v>28</v>
      </c>
      <c r="H1884" s="42"/>
    </row>
    <row r="1885" spans="2:8" ht="18" hidden="1" customHeight="1" x14ac:dyDescent="0.25">
      <c r="B1885" s="40">
        <f>SUBTOTAL(3,C$4:C1885)</f>
        <v>1792</v>
      </c>
      <c r="C1885" s="41">
        <v>24104130</v>
      </c>
      <c r="D1885" s="41" t="s">
        <v>2147</v>
      </c>
      <c r="E1885" s="41" t="s">
        <v>33</v>
      </c>
      <c r="F1885" s="41" t="s">
        <v>1172</v>
      </c>
      <c r="G1885" s="41" t="s">
        <v>27</v>
      </c>
      <c r="H1885" s="42" t="s">
        <v>2148</v>
      </c>
    </row>
    <row r="1886" spans="2:8" ht="18" customHeight="1" x14ac:dyDescent="0.25">
      <c r="B1886" s="40">
        <f>SUBTOTAL(3,C$4:C1886)</f>
        <v>1793</v>
      </c>
      <c r="C1886" s="41">
        <v>24098186</v>
      </c>
      <c r="D1886" s="41" t="s">
        <v>2212</v>
      </c>
      <c r="E1886" s="41" t="s">
        <v>33</v>
      </c>
      <c r="F1886" s="41" t="s">
        <v>1172</v>
      </c>
      <c r="G1886" s="41" t="s">
        <v>28</v>
      </c>
      <c r="H1886" s="42"/>
    </row>
    <row r="1887" spans="2:8" ht="18" customHeight="1" x14ac:dyDescent="0.25">
      <c r="B1887" s="40">
        <f>SUBTOTAL(3,C$4:C1887)</f>
        <v>1794</v>
      </c>
      <c r="C1887" s="41">
        <v>24088735</v>
      </c>
      <c r="D1887" s="41" t="s">
        <v>2241</v>
      </c>
      <c r="E1887" s="41" t="s">
        <v>33</v>
      </c>
      <c r="F1887" s="41" t="s">
        <v>1172</v>
      </c>
      <c r="G1887" s="41" t="s">
        <v>28</v>
      </c>
      <c r="H1887" s="42"/>
    </row>
    <row r="1888" spans="2:8" ht="18" customHeight="1" x14ac:dyDescent="0.25">
      <c r="B1888" s="40">
        <f>SUBTOTAL(3,C$4:C1888)</f>
        <v>1795</v>
      </c>
      <c r="C1888" s="41">
        <v>24096244</v>
      </c>
      <c r="D1888" s="41" t="s">
        <v>2343</v>
      </c>
      <c r="E1888" s="41" t="s">
        <v>33</v>
      </c>
      <c r="F1888" s="41" t="s">
        <v>1172</v>
      </c>
      <c r="G1888" s="41" t="s">
        <v>28</v>
      </c>
      <c r="H1888" s="42"/>
    </row>
    <row r="1889" spans="2:8" ht="18" customHeight="1" x14ac:dyDescent="0.25">
      <c r="B1889" s="40">
        <f>SUBTOTAL(3,C$4:C1889)</f>
        <v>1796</v>
      </c>
      <c r="C1889" s="41">
        <v>24024270</v>
      </c>
      <c r="D1889" s="41" t="s">
        <v>1781</v>
      </c>
      <c r="E1889" s="41" t="s">
        <v>33</v>
      </c>
      <c r="F1889" s="41" t="s">
        <v>1122</v>
      </c>
      <c r="G1889" s="41" t="s">
        <v>28</v>
      </c>
      <c r="H1889" s="42"/>
    </row>
    <row r="1890" spans="2:8" ht="18" customHeight="1" x14ac:dyDescent="0.25">
      <c r="B1890" s="40">
        <f>SUBTOTAL(3,C$4:C1890)</f>
        <v>1797</v>
      </c>
      <c r="C1890" s="41">
        <v>24089020</v>
      </c>
      <c r="D1890" s="41" t="s">
        <v>1789</v>
      </c>
      <c r="E1890" s="41" t="s">
        <v>33</v>
      </c>
      <c r="F1890" s="41" t="s">
        <v>1122</v>
      </c>
      <c r="G1890" s="41" t="s">
        <v>28</v>
      </c>
      <c r="H1890" s="42"/>
    </row>
    <row r="1891" spans="2:8" ht="18" customHeight="1" x14ac:dyDescent="0.25">
      <c r="B1891" s="40">
        <f>SUBTOTAL(3,C$4:C1891)</f>
        <v>1798</v>
      </c>
      <c r="C1891" s="41">
        <v>24088917</v>
      </c>
      <c r="D1891" s="41" t="s">
        <v>1853</v>
      </c>
      <c r="E1891" s="41" t="s">
        <v>33</v>
      </c>
      <c r="F1891" s="41" t="s">
        <v>1122</v>
      </c>
      <c r="G1891" s="41" t="s">
        <v>28</v>
      </c>
      <c r="H1891" s="42"/>
    </row>
    <row r="1892" spans="2:8" ht="18" customHeight="1" x14ac:dyDescent="0.25">
      <c r="B1892" s="40">
        <f>SUBTOTAL(3,C$4:C1892)</f>
        <v>1799</v>
      </c>
      <c r="C1892" s="41">
        <v>24088717</v>
      </c>
      <c r="D1892" s="41" t="s">
        <v>1923</v>
      </c>
      <c r="E1892" s="41" t="s">
        <v>33</v>
      </c>
      <c r="F1892" s="41" t="s">
        <v>1122</v>
      </c>
      <c r="G1892" s="41" t="s">
        <v>28</v>
      </c>
      <c r="H1892" s="42"/>
    </row>
    <row r="1893" spans="2:8" ht="18" customHeight="1" x14ac:dyDescent="0.25">
      <c r="B1893" s="40">
        <f>SUBTOTAL(3,C$4:C1893)</f>
        <v>1800</v>
      </c>
      <c r="C1893" s="41">
        <v>24090323</v>
      </c>
      <c r="D1893" s="41" t="s">
        <v>1948</v>
      </c>
      <c r="E1893" s="41" t="s">
        <v>33</v>
      </c>
      <c r="F1893" s="41" t="s">
        <v>1122</v>
      </c>
      <c r="G1893" s="41" t="s">
        <v>28</v>
      </c>
      <c r="H1893" s="42"/>
    </row>
    <row r="1894" spans="2:8" ht="18" customHeight="1" x14ac:dyDescent="0.25">
      <c r="B1894" s="40">
        <f>SUBTOTAL(3,C$4:C1894)</f>
        <v>1801</v>
      </c>
      <c r="C1894" s="41">
        <v>24024471</v>
      </c>
      <c r="D1894" s="41" t="s">
        <v>1121</v>
      </c>
      <c r="E1894" s="41" t="s">
        <v>33</v>
      </c>
      <c r="F1894" s="41" t="s">
        <v>1122</v>
      </c>
      <c r="G1894" s="41" t="s">
        <v>28</v>
      </c>
      <c r="H1894" s="42"/>
    </row>
    <row r="1895" spans="2:8" ht="18" customHeight="1" x14ac:dyDescent="0.25">
      <c r="B1895" s="40">
        <f>SUBTOTAL(3,C$4:C1895)</f>
        <v>1802</v>
      </c>
      <c r="C1895" s="41">
        <v>24090370</v>
      </c>
      <c r="D1895" s="41" t="s">
        <v>1220</v>
      </c>
      <c r="E1895" s="41" t="s">
        <v>33</v>
      </c>
      <c r="F1895" s="41" t="s">
        <v>1122</v>
      </c>
      <c r="G1895" s="41" t="s">
        <v>28</v>
      </c>
      <c r="H1895" s="42"/>
    </row>
    <row r="1896" spans="2:8" ht="18" customHeight="1" x14ac:dyDescent="0.25">
      <c r="B1896" s="40">
        <f>SUBTOTAL(3,C$4:C1896)</f>
        <v>1803</v>
      </c>
      <c r="C1896" s="41">
        <v>24117645</v>
      </c>
      <c r="D1896" s="41" t="s">
        <v>1223</v>
      </c>
      <c r="E1896" s="41" t="s">
        <v>33</v>
      </c>
      <c r="F1896" s="41" t="s">
        <v>1122</v>
      </c>
      <c r="G1896" s="41" t="s">
        <v>28</v>
      </c>
      <c r="H1896" s="42"/>
    </row>
    <row r="1897" spans="2:8" ht="18" customHeight="1" x14ac:dyDescent="0.25">
      <c r="B1897" s="40">
        <f>SUBTOTAL(3,C$4:C1897)</f>
        <v>1804</v>
      </c>
      <c r="C1897" s="41">
        <v>24105789</v>
      </c>
      <c r="D1897" s="41" t="s">
        <v>1226</v>
      </c>
      <c r="E1897" s="41" t="s">
        <v>33</v>
      </c>
      <c r="F1897" s="41" t="s">
        <v>1122</v>
      </c>
      <c r="G1897" s="41" t="s">
        <v>28</v>
      </c>
      <c r="H1897" s="42"/>
    </row>
    <row r="1898" spans="2:8" ht="18" customHeight="1" x14ac:dyDescent="0.25">
      <c r="B1898" s="40">
        <f>SUBTOTAL(3,C$4:C1898)</f>
        <v>1805</v>
      </c>
      <c r="C1898" s="41">
        <v>24089633</v>
      </c>
      <c r="D1898" s="41" t="s">
        <v>1251</v>
      </c>
      <c r="E1898" s="41" t="s">
        <v>33</v>
      </c>
      <c r="F1898" s="41" t="s">
        <v>1122</v>
      </c>
      <c r="G1898" s="41" t="s">
        <v>28</v>
      </c>
      <c r="H1898" s="42"/>
    </row>
    <row r="1899" spans="2:8" ht="18" customHeight="1" x14ac:dyDescent="0.25">
      <c r="B1899" s="40">
        <f>SUBTOTAL(3,C$4:C1899)</f>
        <v>1806</v>
      </c>
      <c r="C1899" s="41">
        <v>24105345</v>
      </c>
      <c r="D1899" s="41" t="s">
        <v>2189</v>
      </c>
      <c r="E1899" s="41" t="s">
        <v>33</v>
      </c>
      <c r="F1899" s="41" t="s">
        <v>1122</v>
      </c>
      <c r="G1899" s="41" t="s">
        <v>28</v>
      </c>
      <c r="H1899" s="42"/>
    </row>
    <row r="1900" spans="2:8" ht="18" customHeight="1" x14ac:dyDescent="0.25">
      <c r="B1900" s="40">
        <f>SUBTOTAL(3,C$4:C1900)</f>
        <v>1807</v>
      </c>
      <c r="C1900" s="41">
        <v>24024801</v>
      </c>
      <c r="D1900" s="41" t="s">
        <v>2245</v>
      </c>
      <c r="E1900" s="41" t="s">
        <v>33</v>
      </c>
      <c r="F1900" s="41" t="s">
        <v>1122</v>
      </c>
      <c r="G1900" s="41" t="s">
        <v>28</v>
      </c>
      <c r="H1900" s="42"/>
    </row>
    <row r="1901" spans="2:8" ht="18" customHeight="1" x14ac:dyDescent="0.25">
      <c r="B1901" s="40">
        <f>SUBTOTAL(3,C$4:C1901)</f>
        <v>1808</v>
      </c>
      <c r="C1901" s="41">
        <v>24110848</v>
      </c>
      <c r="D1901" s="41" t="s">
        <v>2280</v>
      </c>
      <c r="E1901" s="41" t="s">
        <v>33</v>
      </c>
      <c r="F1901" s="41" t="s">
        <v>1122</v>
      </c>
      <c r="G1901" s="41" t="s">
        <v>28</v>
      </c>
      <c r="H1901" s="42"/>
    </row>
    <row r="1902" spans="2:8" ht="18" customHeight="1" x14ac:dyDescent="0.25">
      <c r="B1902" s="40">
        <f>SUBTOTAL(3,C$4:C1902)</f>
        <v>1809</v>
      </c>
      <c r="C1902" s="41">
        <v>24088888</v>
      </c>
      <c r="D1902" s="41" t="s">
        <v>2283</v>
      </c>
      <c r="E1902" s="41" t="s">
        <v>33</v>
      </c>
      <c r="F1902" s="41" t="s">
        <v>1122</v>
      </c>
      <c r="G1902" s="41" t="s">
        <v>28</v>
      </c>
      <c r="H1902" s="42"/>
    </row>
    <row r="1903" spans="2:8" ht="18" customHeight="1" x14ac:dyDescent="0.25">
      <c r="B1903" s="40">
        <f>SUBTOTAL(3,C$4:C1903)</f>
        <v>1810</v>
      </c>
      <c r="C1903" s="41">
        <v>24088374</v>
      </c>
      <c r="D1903" s="41" t="s">
        <v>2377</v>
      </c>
      <c r="E1903" s="41" t="s">
        <v>33</v>
      </c>
      <c r="F1903" s="41" t="s">
        <v>1122</v>
      </c>
      <c r="G1903" s="41" t="s">
        <v>28</v>
      </c>
      <c r="H1903" s="42"/>
    </row>
    <row r="1904" spans="2:8" ht="18" customHeight="1" x14ac:dyDescent="0.25">
      <c r="B1904" s="40">
        <f>SUBTOTAL(3,C$4:C1904)</f>
        <v>1811</v>
      </c>
      <c r="C1904" s="41">
        <v>24090297</v>
      </c>
      <c r="D1904" s="41" t="s">
        <v>2424</v>
      </c>
      <c r="E1904" s="41" t="s">
        <v>33</v>
      </c>
      <c r="F1904" s="41" t="s">
        <v>1122</v>
      </c>
      <c r="G1904" s="41" t="s">
        <v>28</v>
      </c>
      <c r="H1904" s="42"/>
    </row>
    <row r="1905" spans="2:8" ht="18" customHeight="1" x14ac:dyDescent="0.25">
      <c r="B1905" s="40">
        <f>SUBTOTAL(3,C$4:C1905)</f>
        <v>1812</v>
      </c>
      <c r="C1905" s="41">
        <v>24100883</v>
      </c>
      <c r="D1905" s="41" t="s">
        <v>865</v>
      </c>
      <c r="E1905" s="41" t="s">
        <v>33</v>
      </c>
      <c r="F1905" s="41" t="s">
        <v>1122</v>
      </c>
      <c r="G1905" s="41" t="s">
        <v>28</v>
      </c>
      <c r="H1905" s="42"/>
    </row>
    <row r="1906" spans="2:8" ht="18" customHeight="1" x14ac:dyDescent="0.25">
      <c r="B1906" s="40">
        <f>SUBTOTAL(3,C$4:C1906)</f>
        <v>1813</v>
      </c>
      <c r="C1906" s="41">
        <v>24107700</v>
      </c>
      <c r="D1906" s="41" t="s">
        <v>2444</v>
      </c>
      <c r="E1906" s="41" t="s">
        <v>33</v>
      </c>
      <c r="F1906" s="41" t="s">
        <v>1122</v>
      </c>
      <c r="G1906" s="41" t="s">
        <v>28</v>
      </c>
      <c r="H1906" s="42"/>
    </row>
    <row r="1907" spans="2:8" ht="18" customHeight="1" x14ac:dyDescent="0.25">
      <c r="B1907" s="40">
        <f>SUBTOTAL(3,C$4:C1907)</f>
        <v>1814</v>
      </c>
      <c r="C1907" s="41">
        <v>24103082</v>
      </c>
      <c r="D1907" s="41" t="s">
        <v>1791</v>
      </c>
      <c r="E1907" s="41" t="s">
        <v>33</v>
      </c>
      <c r="F1907" s="41" t="s">
        <v>1180</v>
      </c>
      <c r="G1907" s="41" t="s">
        <v>28</v>
      </c>
      <c r="H1907" s="42"/>
    </row>
    <row r="1908" spans="2:8" ht="18" customHeight="1" x14ac:dyDescent="0.25">
      <c r="B1908" s="40">
        <f>SUBTOTAL(3,C$4:C1908)</f>
        <v>1815</v>
      </c>
      <c r="C1908" s="41">
        <v>24088715</v>
      </c>
      <c r="D1908" s="41" t="s">
        <v>1799</v>
      </c>
      <c r="E1908" s="41" t="s">
        <v>33</v>
      </c>
      <c r="F1908" s="41" t="s">
        <v>1180</v>
      </c>
      <c r="G1908" s="41" t="s">
        <v>28</v>
      </c>
      <c r="H1908" s="42"/>
    </row>
    <row r="1909" spans="2:8" ht="18" customHeight="1" x14ac:dyDescent="0.25">
      <c r="B1909" s="40">
        <f>SUBTOTAL(3,C$4:C1909)</f>
        <v>1816</v>
      </c>
      <c r="C1909" s="41">
        <v>24088927</v>
      </c>
      <c r="D1909" s="41" t="s">
        <v>1843</v>
      </c>
      <c r="E1909" s="41" t="s">
        <v>33</v>
      </c>
      <c r="F1909" s="41" t="s">
        <v>1180</v>
      </c>
      <c r="G1909" s="41" t="s">
        <v>28</v>
      </c>
      <c r="H1909" s="42"/>
    </row>
    <row r="1910" spans="2:8" ht="18" customHeight="1" x14ac:dyDescent="0.25">
      <c r="B1910" s="40">
        <f>SUBTOTAL(3,C$4:C1910)</f>
        <v>1817</v>
      </c>
      <c r="C1910" s="41">
        <v>24089838</v>
      </c>
      <c r="D1910" s="41" t="s">
        <v>1931</v>
      </c>
      <c r="E1910" s="41" t="s">
        <v>33</v>
      </c>
      <c r="F1910" s="41" t="s">
        <v>1180</v>
      </c>
      <c r="G1910" s="41" t="s">
        <v>28</v>
      </c>
      <c r="H1910" s="42"/>
    </row>
    <row r="1911" spans="2:8" ht="18" customHeight="1" x14ac:dyDescent="0.25">
      <c r="B1911" s="40">
        <f>SUBTOTAL(3,C$4:C1911)</f>
        <v>1818</v>
      </c>
      <c r="C1911" s="41">
        <v>24020966</v>
      </c>
      <c r="D1911" s="41" t="s">
        <v>2057</v>
      </c>
      <c r="E1911" s="41" t="s">
        <v>33</v>
      </c>
      <c r="F1911" s="41" t="s">
        <v>1180</v>
      </c>
      <c r="G1911" s="41" t="s">
        <v>28</v>
      </c>
      <c r="H1911" s="42"/>
    </row>
    <row r="1912" spans="2:8" ht="18" customHeight="1" x14ac:dyDescent="0.25">
      <c r="B1912" s="40">
        <f>SUBTOTAL(3,C$4:C1912)</f>
        <v>1819</v>
      </c>
      <c r="C1912" s="41">
        <v>24036784</v>
      </c>
      <c r="D1912" s="41" t="s">
        <v>532</v>
      </c>
      <c r="E1912" s="41" t="s">
        <v>33</v>
      </c>
      <c r="F1912" s="41" t="s">
        <v>1180</v>
      </c>
      <c r="G1912" s="41" t="s">
        <v>28</v>
      </c>
      <c r="H1912" s="42"/>
    </row>
    <row r="1913" spans="2:8" ht="18" customHeight="1" x14ac:dyDescent="0.25">
      <c r="B1913" s="40">
        <f>SUBTOTAL(3,C$4:C1913)</f>
        <v>1820</v>
      </c>
      <c r="C1913" s="41">
        <v>24088931</v>
      </c>
      <c r="D1913" s="41" t="s">
        <v>1185</v>
      </c>
      <c r="E1913" s="41" t="s">
        <v>33</v>
      </c>
      <c r="F1913" s="41" t="s">
        <v>1180</v>
      </c>
      <c r="G1913" s="41" t="s">
        <v>28</v>
      </c>
      <c r="H1913" s="42"/>
    </row>
    <row r="1914" spans="2:8" ht="18" customHeight="1" x14ac:dyDescent="0.25">
      <c r="B1914" s="40">
        <f>SUBTOTAL(3,C$4:C1914)</f>
        <v>1821</v>
      </c>
      <c r="C1914" s="41">
        <v>24105581</v>
      </c>
      <c r="D1914" s="41" t="s">
        <v>1255</v>
      </c>
      <c r="E1914" s="41" t="s">
        <v>33</v>
      </c>
      <c r="F1914" s="41" t="s">
        <v>1180</v>
      </c>
      <c r="G1914" s="41" t="s">
        <v>28</v>
      </c>
      <c r="H1914" s="42"/>
    </row>
    <row r="1915" spans="2:8" ht="18" customHeight="1" x14ac:dyDescent="0.25">
      <c r="B1915" s="40">
        <f>SUBTOTAL(3,C$4:C1915)</f>
        <v>1822</v>
      </c>
      <c r="C1915" s="41">
        <v>24101866</v>
      </c>
      <c r="D1915" s="41" t="s">
        <v>2179</v>
      </c>
      <c r="E1915" s="41" t="s">
        <v>33</v>
      </c>
      <c r="F1915" s="41" t="s">
        <v>1180</v>
      </c>
      <c r="G1915" s="41" t="s">
        <v>28</v>
      </c>
      <c r="H1915" s="42"/>
    </row>
    <row r="1916" spans="2:8" ht="18" customHeight="1" x14ac:dyDescent="0.25">
      <c r="B1916" s="40">
        <f>SUBTOTAL(3,C$4:C1916)</f>
        <v>1823</v>
      </c>
      <c r="C1916" s="41">
        <v>24105831</v>
      </c>
      <c r="D1916" s="41" t="s">
        <v>2265</v>
      </c>
      <c r="E1916" s="41" t="s">
        <v>33</v>
      </c>
      <c r="F1916" s="41" t="s">
        <v>1180</v>
      </c>
      <c r="G1916" s="41" t="s">
        <v>28</v>
      </c>
      <c r="H1916" s="42"/>
    </row>
    <row r="1917" spans="2:8" ht="18" customHeight="1" x14ac:dyDescent="0.25">
      <c r="B1917" s="40">
        <f>SUBTOTAL(3,C$4:C1917)</f>
        <v>1824</v>
      </c>
      <c r="C1917" s="41">
        <v>24255952</v>
      </c>
      <c r="D1917" s="41" t="s">
        <v>2274</v>
      </c>
      <c r="E1917" s="41" t="s">
        <v>33</v>
      </c>
      <c r="F1917" s="41" t="s">
        <v>1180</v>
      </c>
      <c r="G1917" s="41" t="s">
        <v>28</v>
      </c>
      <c r="H1917" s="42"/>
    </row>
    <row r="1918" spans="2:8" ht="18" customHeight="1" x14ac:dyDescent="0.25">
      <c r="B1918" s="40">
        <f>SUBTOTAL(3,C$4:C1918)</f>
        <v>1825</v>
      </c>
      <c r="C1918" s="41">
        <v>24191011</v>
      </c>
      <c r="D1918" s="41" t="s">
        <v>2292</v>
      </c>
      <c r="E1918" s="41" t="s">
        <v>33</v>
      </c>
      <c r="F1918" s="41" t="s">
        <v>1180</v>
      </c>
      <c r="G1918" s="41" t="s">
        <v>28</v>
      </c>
      <c r="H1918" s="42"/>
    </row>
    <row r="1919" spans="2:8" ht="18" customHeight="1" x14ac:dyDescent="0.25">
      <c r="B1919" s="40">
        <f>SUBTOTAL(3,C$4:C1919)</f>
        <v>1826</v>
      </c>
      <c r="C1919" s="41">
        <v>24102432</v>
      </c>
      <c r="D1919" s="41" t="s">
        <v>2303</v>
      </c>
      <c r="E1919" s="41" t="s">
        <v>33</v>
      </c>
      <c r="F1919" s="41" t="s">
        <v>1180</v>
      </c>
      <c r="G1919" s="41" t="s">
        <v>28</v>
      </c>
      <c r="H1919" s="42"/>
    </row>
    <row r="1920" spans="2:8" ht="18" customHeight="1" x14ac:dyDescent="0.25">
      <c r="B1920" s="40">
        <f>SUBTOTAL(3,C$4:C1920)</f>
        <v>1827</v>
      </c>
      <c r="C1920" s="41">
        <v>24099093</v>
      </c>
      <c r="D1920" s="41" t="s">
        <v>2309</v>
      </c>
      <c r="E1920" s="41" t="s">
        <v>33</v>
      </c>
      <c r="F1920" s="41" t="s">
        <v>1180</v>
      </c>
      <c r="G1920" s="41" t="s">
        <v>28</v>
      </c>
      <c r="H1920" s="42"/>
    </row>
    <row r="1921" spans="2:8" ht="18" customHeight="1" x14ac:dyDescent="0.25">
      <c r="B1921" s="40">
        <f>SUBTOTAL(3,C$4:C1921)</f>
        <v>1828</v>
      </c>
      <c r="C1921" s="41">
        <v>24096940</v>
      </c>
      <c r="D1921" s="41" t="s">
        <v>2344</v>
      </c>
      <c r="E1921" s="41" t="s">
        <v>33</v>
      </c>
      <c r="F1921" s="41" t="s">
        <v>1180</v>
      </c>
      <c r="G1921" s="41" t="s">
        <v>28</v>
      </c>
      <c r="H1921" s="42"/>
    </row>
    <row r="1922" spans="2:8" ht="18" customHeight="1" x14ac:dyDescent="0.25">
      <c r="B1922" s="40">
        <f>SUBTOTAL(3,C$4:C1922)</f>
        <v>1829</v>
      </c>
      <c r="C1922" s="41">
        <v>24105425</v>
      </c>
      <c r="D1922" s="41" t="s">
        <v>2400</v>
      </c>
      <c r="E1922" s="41" t="s">
        <v>33</v>
      </c>
      <c r="F1922" s="41" t="s">
        <v>1180</v>
      </c>
      <c r="G1922" s="41" t="s">
        <v>28</v>
      </c>
      <c r="H1922" s="42"/>
    </row>
    <row r="1923" spans="2:8" ht="18" customHeight="1" x14ac:dyDescent="0.25">
      <c r="B1923" s="40">
        <f>SUBTOTAL(3,C$4:C1923)</f>
        <v>1830</v>
      </c>
      <c r="C1923" s="41">
        <v>24291966</v>
      </c>
      <c r="D1923" s="41" t="s">
        <v>2423</v>
      </c>
      <c r="E1923" s="41" t="s">
        <v>33</v>
      </c>
      <c r="F1923" s="41" t="s">
        <v>1180</v>
      </c>
      <c r="G1923" s="41" t="s">
        <v>28</v>
      </c>
      <c r="H1923" s="42"/>
    </row>
    <row r="1924" spans="2:8" ht="18" customHeight="1" x14ac:dyDescent="0.25">
      <c r="B1924" s="40">
        <f>SUBTOTAL(3,C$4:C1924)</f>
        <v>1831</v>
      </c>
      <c r="C1924" s="41">
        <v>24089641</v>
      </c>
      <c r="D1924" s="41" t="s">
        <v>2454</v>
      </c>
      <c r="E1924" s="41" t="s">
        <v>33</v>
      </c>
      <c r="F1924" s="41" t="s">
        <v>1180</v>
      </c>
      <c r="G1924" s="41" t="s">
        <v>28</v>
      </c>
      <c r="H1924" s="42"/>
    </row>
    <row r="1925" spans="2:8" ht="18" customHeight="1" x14ac:dyDescent="0.25">
      <c r="B1925" s="40">
        <f>SUBTOTAL(3,C$4:C1925)</f>
        <v>1832</v>
      </c>
      <c r="C1925" s="41">
        <v>24106466</v>
      </c>
      <c r="D1925" s="41" t="s">
        <v>1842</v>
      </c>
      <c r="E1925" s="41" t="s">
        <v>33</v>
      </c>
      <c r="F1925" s="41" t="s">
        <v>1198</v>
      </c>
      <c r="G1925" s="41" t="s">
        <v>28</v>
      </c>
      <c r="H1925" s="42"/>
    </row>
    <row r="1926" spans="2:8" ht="18" customHeight="1" x14ac:dyDescent="0.25">
      <c r="B1926" s="40">
        <f>SUBTOTAL(3,C$4:C1926)</f>
        <v>1833</v>
      </c>
      <c r="C1926" s="41">
        <v>24089010</v>
      </c>
      <c r="D1926" s="41" t="s">
        <v>1954</v>
      </c>
      <c r="E1926" s="41" t="s">
        <v>33</v>
      </c>
      <c r="F1926" s="41" t="s">
        <v>1198</v>
      </c>
      <c r="G1926" s="41" t="s">
        <v>28</v>
      </c>
      <c r="H1926" s="42"/>
    </row>
    <row r="1927" spans="2:8" ht="18" customHeight="1" x14ac:dyDescent="0.25">
      <c r="B1927" s="40">
        <f>SUBTOTAL(3,C$4:C1927)</f>
        <v>1834</v>
      </c>
      <c r="C1927" s="41">
        <v>24089680</v>
      </c>
      <c r="D1927" s="41" t="s">
        <v>1738</v>
      </c>
      <c r="E1927" s="41" t="s">
        <v>33</v>
      </c>
      <c r="F1927" s="41" t="s">
        <v>1198</v>
      </c>
      <c r="G1927" s="41" t="s">
        <v>28</v>
      </c>
      <c r="H1927" s="42"/>
    </row>
    <row r="1928" spans="2:8" ht="18" hidden="1" customHeight="1" x14ac:dyDescent="0.25">
      <c r="B1928" s="40">
        <f>SUBTOTAL(3,C$4:C1928)</f>
        <v>1834</v>
      </c>
      <c r="C1928" s="41">
        <v>24102520</v>
      </c>
      <c r="D1928" s="41" t="s">
        <v>2097</v>
      </c>
      <c r="E1928" s="41" t="s">
        <v>33</v>
      </c>
      <c r="F1928" s="41" t="s">
        <v>1198</v>
      </c>
      <c r="G1928" s="41" t="s">
        <v>27</v>
      </c>
      <c r="H1928" s="42" t="s">
        <v>1812</v>
      </c>
    </row>
    <row r="1929" spans="2:8" ht="18" customHeight="1" x14ac:dyDescent="0.25">
      <c r="B1929" s="40">
        <f>SUBTOTAL(3,C$4:C1929)</f>
        <v>1835</v>
      </c>
      <c r="C1929" s="41">
        <v>24120136</v>
      </c>
      <c r="D1929" s="41" t="s">
        <v>1197</v>
      </c>
      <c r="E1929" s="41" t="s">
        <v>33</v>
      </c>
      <c r="F1929" s="41" t="s">
        <v>1198</v>
      </c>
      <c r="G1929" s="41" t="s">
        <v>28</v>
      </c>
      <c r="H1929" s="42"/>
    </row>
    <row r="1930" spans="2:8" ht="18" customHeight="1" x14ac:dyDescent="0.25">
      <c r="B1930" s="40">
        <f>SUBTOTAL(3,C$4:C1930)</f>
        <v>1836</v>
      </c>
      <c r="C1930" s="41">
        <v>24115472</v>
      </c>
      <c r="D1930" s="41" t="s">
        <v>1265</v>
      </c>
      <c r="E1930" s="41" t="s">
        <v>33</v>
      </c>
      <c r="F1930" s="41" t="s">
        <v>1198</v>
      </c>
      <c r="G1930" s="41" t="s">
        <v>28</v>
      </c>
      <c r="H1930" s="42"/>
    </row>
    <row r="1931" spans="2:8" ht="18" customHeight="1" x14ac:dyDescent="0.25">
      <c r="B1931" s="40">
        <f>SUBTOTAL(3,C$4:C1931)</f>
        <v>1837</v>
      </c>
      <c r="C1931" s="41">
        <v>24090390</v>
      </c>
      <c r="D1931" s="41" t="s">
        <v>2113</v>
      </c>
      <c r="E1931" s="41" t="s">
        <v>33</v>
      </c>
      <c r="F1931" s="41" t="s">
        <v>1198</v>
      </c>
      <c r="G1931" s="41" t="s">
        <v>28</v>
      </c>
      <c r="H1931" s="42"/>
    </row>
    <row r="1932" spans="2:8" ht="18" customHeight="1" x14ac:dyDescent="0.25">
      <c r="B1932" s="40">
        <f>SUBTOTAL(3,C$4:C1932)</f>
        <v>1838</v>
      </c>
      <c r="C1932" s="41">
        <v>24028271</v>
      </c>
      <c r="D1932" s="41" t="s">
        <v>2127</v>
      </c>
      <c r="E1932" s="41" t="s">
        <v>33</v>
      </c>
      <c r="F1932" s="41" t="s">
        <v>1198</v>
      </c>
      <c r="G1932" s="41" t="s">
        <v>28</v>
      </c>
      <c r="H1932" s="42"/>
    </row>
    <row r="1933" spans="2:8" ht="18" customHeight="1" x14ac:dyDescent="0.25">
      <c r="B1933" s="40">
        <f>SUBTOTAL(3,C$4:C1933)</f>
        <v>1839</v>
      </c>
      <c r="C1933" s="41">
        <v>24110887</v>
      </c>
      <c r="D1933" s="41" t="s">
        <v>2184</v>
      </c>
      <c r="E1933" s="41" t="s">
        <v>33</v>
      </c>
      <c r="F1933" s="41" t="s">
        <v>1198</v>
      </c>
      <c r="G1933" s="41" t="s">
        <v>28</v>
      </c>
      <c r="H1933" s="42"/>
    </row>
    <row r="1934" spans="2:8" ht="18" customHeight="1" x14ac:dyDescent="0.25">
      <c r="B1934" s="40">
        <f>SUBTOTAL(3,C$4:C1934)</f>
        <v>1840</v>
      </c>
      <c r="C1934" s="41">
        <v>24099882</v>
      </c>
      <c r="D1934" s="41" t="s">
        <v>2226</v>
      </c>
      <c r="E1934" s="41" t="s">
        <v>33</v>
      </c>
      <c r="F1934" s="41" t="s">
        <v>1198</v>
      </c>
      <c r="G1934" s="41" t="s">
        <v>28</v>
      </c>
      <c r="H1934" s="42"/>
    </row>
    <row r="1935" spans="2:8" ht="18" customHeight="1" x14ac:dyDescent="0.25">
      <c r="B1935" s="40">
        <f>SUBTOTAL(3,C$4:C1935)</f>
        <v>1841</v>
      </c>
      <c r="C1935" s="41">
        <v>24096910</v>
      </c>
      <c r="D1935" s="41" t="s">
        <v>2278</v>
      </c>
      <c r="E1935" s="41" t="s">
        <v>33</v>
      </c>
      <c r="F1935" s="41" t="s">
        <v>1198</v>
      </c>
      <c r="G1935" s="41" t="s">
        <v>28</v>
      </c>
      <c r="H1935" s="42"/>
    </row>
    <row r="1936" spans="2:8" ht="18" customHeight="1" x14ac:dyDescent="0.25">
      <c r="B1936" s="40">
        <f>SUBTOTAL(3,C$4:C1936)</f>
        <v>1842</v>
      </c>
      <c r="C1936" s="41">
        <v>24098155</v>
      </c>
      <c r="D1936" s="41" t="s">
        <v>2342</v>
      </c>
      <c r="E1936" s="41" t="s">
        <v>33</v>
      </c>
      <c r="F1936" s="41" t="s">
        <v>1198</v>
      </c>
      <c r="G1936" s="41" t="s">
        <v>28</v>
      </c>
      <c r="H1936" s="42"/>
    </row>
    <row r="1937" spans="2:8" ht="18" customHeight="1" x14ac:dyDescent="0.25">
      <c r="B1937" s="40">
        <f>SUBTOTAL(3,C$4:C1937)</f>
        <v>1843</v>
      </c>
      <c r="C1937" s="41">
        <v>24019682</v>
      </c>
      <c r="D1937" s="41" t="s">
        <v>2434</v>
      </c>
      <c r="E1937" s="41" t="s">
        <v>33</v>
      </c>
      <c r="F1937" s="41" t="s">
        <v>1198</v>
      </c>
      <c r="G1937" s="41" t="s">
        <v>28</v>
      </c>
      <c r="H1937" s="42"/>
    </row>
    <row r="1938" spans="2:8" ht="18" customHeight="1" x14ac:dyDescent="0.25">
      <c r="B1938" s="40">
        <f>SUBTOTAL(3,C$4:C1938)</f>
        <v>1844</v>
      </c>
      <c r="C1938" s="41">
        <v>24089603</v>
      </c>
      <c r="D1938" s="41" t="s">
        <v>2438</v>
      </c>
      <c r="E1938" s="41" t="s">
        <v>33</v>
      </c>
      <c r="F1938" s="41" t="s">
        <v>1198</v>
      </c>
      <c r="G1938" s="41" t="s">
        <v>28</v>
      </c>
      <c r="H1938" s="42"/>
    </row>
    <row r="1939" spans="2:8" ht="18" customHeight="1" x14ac:dyDescent="0.25">
      <c r="B1939" s="40">
        <f>SUBTOTAL(3,C$4:C1939)</f>
        <v>1845</v>
      </c>
      <c r="C1939" s="41">
        <v>24088651</v>
      </c>
      <c r="D1939" s="41" t="s">
        <v>2448</v>
      </c>
      <c r="E1939" s="41" t="s">
        <v>33</v>
      </c>
      <c r="F1939" s="41" t="s">
        <v>1198</v>
      </c>
      <c r="G1939" s="41" t="s">
        <v>28</v>
      </c>
      <c r="H1939" s="42"/>
    </row>
    <row r="1940" spans="2:8" ht="18" customHeight="1" x14ac:dyDescent="0.25">
      <c r="B1940" s="40">
        <f>SUBTOTAL(3,C$4:C1940)</f>
        <v>1846</v>
      </c>
      <c r="C1940" s="41">
        <v>24105601</v>
      </c>
      <c r="D1940" s="41" t="s">
        <v>2452</v>
      </c>
      <c r="E1940" s="41" t="s">
        <v>33</v>
      </c>
      <c r="F1940" s="41" t="s">
        <v>1198</v>
      </c>
      <c r="G1940" s="41" t="s">
        <v>28</v>
      </c>
      <c r="H1940" s="42"/>
    </row>
    <row r="1941" spans="2:8" ht="18" customHeight="1" x14ac:dyDescent="0.25">
      <c r="B1941" s="40">
        <f>SUBTOTAL(3,C$4:C1941)</f>
        <v>1847</v>
      </c>
      <c r="C1941" s="41">
        <v>24039854</v>
      </c>
      <c r="D1941" s="41" t="s">
        <v>1844</v>
      </c>
      <c r="E1941" s="41" t="s">
        <v>33</v>
      </c>
      <c r="F1941" s="41" t="s">
        <v>1845</v>
      </c>
      <c r="G1941" s="41" t="s">
        <v>24</v>
      </c>
      <c r="H1941" s="42"/>
    </row>
    <row r="1942" spans="2:8" ht="18" customHeight="1" x14ac:dyDescent="0.25">
      <c r="B1942" s="40">
        <f>SUBTOTAL(3,C$4:C1942)</f>
        <v>1848</v>
      </c>
      <c r="C1942" s="41">
        <v>24218990</v>
      </c>
      <c r="D1942" s="41" t="s">
        <v>1941</v>
      </c>
      <c r="E1942" s="41" t="s">
        <v>33</v>
      </c>
      <c r="F1942" s="41" t="s">
        <v>1942</v>
      </c>
      <c r="G1942" s="41" t="s">
        <v>28</v>
      </c>
      <c r="H1942" s="42"/>
    </row>
    <row r="1943" spans="2:8" ht="18" customHeight="1" x14ac:dyDescent="0.25">
      <c r="B1943" s="40">
        <f>SUBTOTAL(3,C$4:C1943)</f>
        <v>1849</v>
      </c>
      <c r="C1943" s="41">
        <v>24089841</v>
      </c>
      <c r="D1943" s="41" t="s">
        <v>1949</v>
      </c>
      <c r="E1943" s="41" t="s">
        <v>33</v>
      </c>
      <c r="F1943" s="41" t="s">
        <v>1950</v>
      </c>
      <c r="G1943" s="41" t="s">
        <v>28</v>
      </c>
      <c r="H1943" s="42"/>
    </row>
    <row r="1944" spans="2:8" ht="18" customHeight="1" x14ac:dyDescent="0.25">
      <c r="B1944" s="40">
        <f>SUBTOTAL(3,C$4:C1944)</f>
        <v>1850</v>
      </c>
      <c r="C1944" s="41">
        <v>24020133</v>
      </c>
      <c r="D1944" s="41" t="s">
        <v>2028</v>
      </c>
      <c r="E1944" s="41" t="s">
        <v>33</v>
      </c>
      <c r="F1944" s="41" t="s">
        <v>1155</v>
      </c>
      <c r="G1944" s="41" t="s">
        <v>28</v>
      </c>
      <c r="H1944" s="42"/>
    </row>
    <row r="1945" spans="2:8" ht="18" customHeight="1" x14ac:dyDescent="0.25">
      <c r="B1945" s="40">
        <f>SUBTOTAL(3,C$4:C1945)</f>
        <v>1851</v>
      </c>
      <c r="C1945" s="41">
        <v>24030163</v>
      </c>
      <c r="D1945" s="41" t="s">
        <v>1154</v>
      </c>
      <c r="E1945" s="41" t="s">
        <v>33</v>
      </c>
      <c r="F1945" s="41" t="s">
        <v>1155</v>
      </c>
      <c r="G1945" s="41" t="s">
        <v>28</v>
      </c>
      <c r="H1945" s="42"/>
    </row>
    <row r="1946" spans="2:8" ht="18" customHeight="1" x14ac:dyDescent="0.25">
      <c r="B1946" s="40">
        <f>SUBTOTAL(3,C$4:C1946)</f>
        <v>1852</v>
      </c>
      <c r="C1946" s="41">
        <v>24034841</v>
      </c>
      <c r="D1946" s="41" t="s">
        <v>1261</v>
      </c>
      <c r="E1946" s="41" t="s">
        <v>33</v>
      </c>
      <c r="F1946" s="41" t="s">
        <v>1155</v>
      </c>
      <c r="G1946" s="41" t="s">
        <v>24</v>
      </c>
      <c r="H1946" s="42"/>
    </row>
    <row r="1947" spans="2:8" ht="18" customHeight="1" x14ac:dyDescent="0.25">
      <c r="B1947" s="40">
        <f>SUBTOTAL(3,C$4:C1947)</f>
        <v>1853</v>
      </c>
      <c r="C1947" s="41">
        <v>24022285</v>
      </c>
      <c r="D1947" s="41" t="s">
        <v>2220</v>
      </c>
      <c r="E1947" s="41" t="s">
        <v>33</v>
      </c>
      <c r="F1947" s="41" t="s">
        <v>1155</v>
      </c>
      <c r="G1947" s="41" t="s">
        <v>28</v>
      </c>
      <c r="H1947" s="42"/>
    </row>
    <row r="1948" spans="2:8" ht="18" hidden="1" customHeight="1" x14ac:dyDescent="0.25">
      <c r="B1948" s="40">
        <f>SUBTOTAL(3,C$4:C1948)</f>
        <v>1853</v>
      </c>
      <c r="C1948" s="41">
        <v>24040014</v>
      </c>
      <c r="D1948" s="41" t="s">
        <v>2373</v>
      </c>
      <c r="E1948" s="41" t="s">
        <v>33</v>
      </c>
      <c r="F1948" s="41" t="s">
        <v>1155</v>
      </c>
      <c r="G1948" s="41" t="s">
        <v>27</v>
      </c>
      <c r="H1948" s="42" t="s">
        <v>1148</v>
      </c>
    </row>
    <row r="1949" spans="2:8" ht="18" customHeight="1" x14ac:dyDescent="0.25">
      <c r="B1949" s="40">
        <f>SUBTOTAL(3,C$4:C1949)</f>
        <v>1854</v>
      </c>
      <c r="C1949" s="41">
        <v>24021872</v>
      </c>
      <c r="D1949" s="41" t="s">
        <v>2032</v>
      </c>
      <c r="E1949" s="41" t="s">
        <v>33</v>
      </c>
      <c r="F1949" s="41" t="s">
        <v>2033</v>
      </c>
      <c r="G1949" s="41" t="s">
        <v>24</v>
      </c>
      <c r="H1949" s="42"/>
    </row>
    <row r="1950" spans="2:8" ht="18" customHeight="1" x14ac:dyDescent="0.25">
      <c r="B1950" s="40">
        <f>SUBTOTAL(3,C$4:C1950)</f>
        <v>1855</v>
      </c>
      <c r="C1950" s="41">
        <v>24033626</v>
      </c>
      <c r="D1950" s="41" t="s">
        <v>1996</v>
      </c>
      <c r="E1950" s="41" t="s">
        <v>33</v>
      </c>
      <c r="F1950" s="41" t="s">
        <v>1187</v>
      </c>
      <c r="G1950" s="41" t="s">
        <v>28</v>
      </c>
      <c r="H1950" s="42"/>
    </row>
    <row r="1951" spans="2:8" ht="18" customHeight="1" x14ac:dyDescent="0.25">
      <c r="B1951" s="40">
        <f>SUBTOTAL(3,C$4:C1951)</f>
        <v>1856</v>
      </c>
      <c r="C1951" s="41">
        <v>24255788</v>
      </c>
      <c r="D1951" s="41" t="s">
        <v>1186</v>
      </c>
      <c r="E1951" s="41" t="s">
        <v>33</v>
      </c>
      <c r="F1951" s="41" t="s">
        <v>1187</v>
      </c>
      <c r="G1951" s="41" t="s">
        <v>28</v>
      </c>
      <c r="H1951" s="42"/>
    </row>
    <row r="1952" spans="2:8" ht="18" customHeight="1" x14ac:dyDescent="0.25">
      <c r="B1952" s="40">
        <f>SUBTOTAL(3,C$4:C1952)</f>
        <v>1857</v>
      </c>
      <c r="C1952" s="41">
        <v>24215644</v>
      </c>
      <c r="D1952" s="41" t="s">
        <v>2106</v>
      </c>
      <c r="E1952" s="41" t="s">
        <v>33</v>
      </c>
      <c r="F1952" s="41" t="s">
        <v>1187</v>
      </c>
      <c r="G1952" s="41" t="s">
        <v>28</v>
      </c>
      <c r="H1952" s="42"/>
    </row>
    <row r="1953" spans="2:8" ht="18" hidden="1" customHeight="1" x14ac:dyDescent="0.25">
      <c r="B1953" s="40">
        <f>SUBTOTAL(3,C$4:C1953)</f>
        <v>1857</v>
      </c>
      <c r="C1953" s="41">
        <v>24040092</v>
      </c>
      <c r="D1953" s="41" t="s">
        <v>2221</v>
      </c>
      <c r="E1953" s="41" t="s">
        <v>33</v>
      </c>
      <c r="F1953" s="41" t="s">
        <v>1187</v>
      </c>
      <c r="G1953" s="41" t="s">
        <v>27</v>
      </c>
      <c r="H1953" s="42" t="s">
        <v>1218</v>
      </c>
    </row>
    <row r="1954" spans="2:8" ht="18" customHeight="1" x14ac:dyDescent="0.25">
      <c r="B1954" s="40">
        <f>SUBTOTAL(3,C$4:C1954)</f>
        <v>1858</v>
      </c>
      <c r="C1954" s="41">
        <v>24033954</v>
      </c>
      <c r="D1954" s="41" t="s">
        <v>1762</v>
      </c>
      <c r="E1954" s="41" t="s">
        <v>33</v>
      </c>
      <c r="F1954" s="41" t="s">
        <v>1191</v>
      </c>
      <c r="G1954" s="41" t="s">
        <v>28</v>
      </c>
      <c r="H1954" s="42"/>
    </row>
    <row r="1955" spans="2:8" ht="18" customHeight="1" x14ac:dyDescent="0.25">
      <c r="B1955" s="40">
        <f>SUBTOTAL(3,C$4:C1955)</f>
        <v>1859</v>
      </c>
      <c r="C1955" s="41">
        <v>24038037</v>
      </c>
      <c r="D1955" s="41" t="s">
        <v>1775</v>
      </c>
      <c r="E1955" s="41" t="s">
        <v>33</v>
      </c>
      <c r="F1955" s="41" t="s">
        <v>1191</v>
      </c>
      <c r="G1955" s="41" t="s">
        <v>28</v>
      </c>
      <c r="H1955" s="42"/>
    </row>
    <row r="1956" spans="2:8" ht="18" customHeight="1" x14ac:dyDescent="0.25">
      <c r="B1956" s="40">
        <f>SUBTOTAL(3,C$4:C1956)</f>
        <v>1860</v>
      </c>
      <c r="C1956" s="41">
        <v>24022324</v>
      </c>
      <c r="D1956" s="41" t="s">
        <v>1788</v>
      </c>
      <c r="E1956" s="41" t="s">
        <v>33</v>
      </c>
      <c r="F1956" s="41" t="s">
        <v>1191</v>
      </c>
      <c r="G1956" s="41" t="s">
        <v>28</v>
      </c>
      <c r="H1956" s="42"/>
    </row>
    <row r="1957" spans="2:8" ht="18" customHeight="1" x14ac:dyDescent="0.25">
      <c r="B1957" s="40">
        <f>SUBTOTAL(3,C$4:C1957)</f>
        <v>1861</v>
      </c>
      <c r="C1957" s="41">
        <v>24035152</v>
      </c>
      <c r="D1957" s="41" t="s">
        <v>1790</v>
      </c>
      <c r="E1957" s="41" t="s">
        <v>33</v>
      </c>
      <c r="F1957" s="41" t="s">
        <v>1191</v>
      </c>
      <c r="G1957" s="41" t="s">
        <v>28</v>
      </c>
      <c r="H1957" s="42"/>
    </row>
    <row r="1958" spans="2:8" ht="18" customHeight="1" x14ac:dyDescent="0.25">
      <c r="B1958" s="40">
        <f>SUBTOTAL(3,C$4:C1958)</f>
        <v>1862</v>
      </c>
      <c r="C1958" s="41">
        <v>24033703</v>
      </c>
      <c r="D1958" s="41" t="s">
        <v>1875</v>
      </c>
      <c r="E1958" s="41" t="s">
        <v>33</v>
      </c>
      <c r="F1958" s="41" t="s">
        <v>1191</v>
      </c>
      <c r="G1958" s="41" t="s">
        <v>28</v>
      </c>
      <c r="H1958" s="42"/>
    </row>
    <row r="1959" spans="2:8" ht="18" customHeight="1" x14ac:dyDescent="0.25">
      <c r="B1959" s="40">
        <f>SUBTOTAL(3,C$4:C1959)</f>
        <v>1863</v>
      </c>
      <c r="C1959" s="41">
        <v>24038513</v>
      </c>
      <c r="D1959" s="41" t="s">
        <v>1951</v>
      </c>
      <c r="E1959" s="41" t="s">
        <v>33</v>
      </c>
      <c r="F1959" s="41" t="s">
        <v>1191</v>
      </c>
      <c r="G1959" s="41" t="s">
        <v>28</v>
      </c>
      <c r="H1959" s="42"/>
    </row>
    <row r="1960" spans="2:8" ht="18" customHeight="1" x14ac:dyDescent="0.25">
      <c r="B1960" s="40">
        <f>SUBTOTAL(3,C$4:C1960)</f>
        <v>1864</v>
      </c>
      <c r="C1960" s="41">
        <v>24031140</v>
      </c>
      <c r="D1960" s="41" t="s">
        <v>2012</v>
      </c>
      <c r="E1960" s="41" t="s">
        <v>33</v>
      </c>
      <c r="F1960" s="41" t="s">
        <v>1191</v>
      </c>
      <c r="G1960" s="41" t="s">
        <v>28</v>
      </c>
      <c r="H1960" s="42"/>
    </row>
    <row r="1961" spans="2:8" ht="18" customHeight="1" x14ac:dyDescent="0.25">
      <c r="B1961" s="40">
        <f>SUBTOTAL(3,C$4:C1961)</f>
        <v>1865</v>
      </c>
      <c r="C1961" s="41">
        <v>24031838</v>
      </c>
      <c r="D1961" s="41" t="s">
        <v>2020</v>
      </c>
      <c r="E1961" s="41" t="s">
        <v>33</v>
      </c>
      <c r="F1961" s="41" t="s">
        <v>1191</v>
      </c>
      <c r="G1961" s="41" t="s">
        <v>28</v>
      </c>
      <c r="H1961" s="42"/>
    </row>
    <row r="1962" spans="2:8" ht="18" customHeight="1" x14ac:dyDescent="0.25">
      <c r="B1962" s="40">
        <f>SUBTOTAL(3,C$4:C1962)</f>
        <v>1866</v>
      </c>
      <c r="C1962" s="41">
        <v>24031038</v>
      </c>
      <c r="D1962" s="41" t="s">
        <v>2044</v>
      </c>
      <c r="E1962" s="41" t="s">
        <v>33</v>
      </c>
      <c r="F1962" s="41" t="s">
        <v>1191</v>
      </c>
      <c r="G1962" s="41" t="s">
        <v>28</v>
      </c>
      <c r="H1962" s="42"/>
    </row>
    <row r="1963" spans="2:8" ht="18" customHeight="1" x14ac:dyDescent="0.25">
      <c r="B1963" s="40">
        <f>SUBTOTAL(3,C$4:C1963)</f>
        <v>1867</v>
      </c>
      <c r="C1963" s="41">
        <v>24032139</v>
      </c>
      <c r="D1963" s="41" t="s">
        <v>1190</v>
      </c>
      <c r="E1963" s="41" t="s">
        <v>33</v>
      </c>
      <c r="F1963" s="41" t="s">
        <v>1191</v>
      </c>
      <c r="G1963" s="41" t="s">
        <v>28</v>
      </c>
      <c r="H1963" s="42"/>
    </row>
    <row r="1964" spans="2:8" ht="18" customHeight="1" x14ac:dyDescent="0.25">
      <c r="B1964" s="40">
        <f>SUBTOTAL(3,C$4:C1964)</f>
        <v>1868</v>
      </c>
      <c r="C1964" s="41">
        <v>24020874</v>
      </c>
      <c r="D1964" s="41" t="s">
        <v>2200</v>
      </c>
      <c r="E1964" s="41" t="s">
        <v>33</v>
      </c>
      <c r="F1964" s="41" t="s">
        <v>1191</v>
      </c>
      <c r="G1964" s="41" t="s">
        <v>28</v>
      </c>
      <c r="H1964" s="42"/>
    </row>
    <row r="1965" spans="2:8" ht="18" customHeight="1" x14ac:dyDescent="0.25">
      <c r="B1965" s="40">
        <f>SUBTOTAL(3,C$4:C1965)</f>
        <v>1869</v>
      </c>
      <c r="C1965" s="41">
        <v>24025698</v>
      </c>
      <c r="D1965" s="41" t="s">
        <v>2334</v>
      </c>
      <c r="E1965" s="41" t="s">
        <v>33</v>
      </c>
      <c r="F1965" s="41" t="s">
        <v>1191</v>
      </c>
      <c r="G1965" s="41" t="s">
        <v>28</v>
      </c>
      <c r="H1965" s="42"/>
    </row>
    <row r="1966" spans="2:8" ht="18" customHeight="1" x14ac:dyDescent="0.25">
      <c r="B1966" s="40">
        <f>SUBTOTAL(3,C$4:C1966)</f>
        <v>1870</v>
      </c>
      <c r="C1966" s="41">
        <v>24031995</v>
      </c>
      <c r="D1966" s="41" t="s">
        <v>2346</v>
      </c>
      <c r="E1966" s="41" t="s">
        <v>33</v>
      </c>
      <c r="F1966" s="41" t="s">
        <v>1191</v>
      </c>
      <c r="G1966" s="41" t="s">
        <v>28</v>
      </c>
      <c r="H1966" s="42"/>
    </row>
    <row r="1967" spans="2:8" ht="18" customHeight="1" x14ac:dyDescent="0.25">
      <c r="B1967" s="40">
        <f>SUBTOTAL(3,C$4:C1967)</f>
        <v>1871</v>
      </c>
      <c r="C1967" s="41">
        <v>24027953</v>
      </c>
      <c r="D1967" s="41" t="s">
        <v>2381</v>
      </c>
      <c r="E1967" s="41" t="s">
        <v>33</v>
      </c>
      <c r="F1967" s="41" t="s">
        <v>1191</v>
      </c>
      <c r="G1967" s="41" t="s">
        <v>28</v>
      </c>
      <c r="H1967" s="42"/>
    </row>
    <row r="1968" spans="2:8" ht="18" customHeight="1" x14ac:dyDescent="0.25">
      <c r="B1968" s="40">
        <f>SUBTOTAL(3,C$4:C1968)</f>
        <v>1872</v>
      </c>
      <c r="C1968" s="41">
        <v>24033516</v>
      </c>
      <c r="D1968" s="41" t="s">
        <v>2409</v>
      </c>
      <c r="E1968" s="41" t="s">
        <v>33</v>
      </c>
      <c r="F1968" s="41" t="s">
        <v>1191</v>
      </c>
      <c r="G1968" s="41" t="s">
        <v>28</v>
      </c>
      <c r="H1968" s="42"/>
    </row>
    <row r="1969" spans="2:8" ht="18" customHeight="1" x14ac:dyDescent="0.25">
      <c r="B1969" s="40">
        <f>SUBTOTAL(3,C$4:C1969)</f>
        <v>1873</v>
      </c>
      <c r="C1969" s="41">
        <v>24024140</v>
      </c>
      <c r="D1969" s="41" t="s">
        <v>2436</v>
      </c>
      <c r="E1969" s="41" t="s">
        <v>33</v>
      </c>
      <c r="F1969" s="41" t="s">
        <v>1191</v>
      </c>
      <c r="G1969" s="41" t="s">
        <v>28</v>
      </c>
      <c r="H1969" s="42"/>
    </row>
    <row r="1970" spans="2:8" ht="18" customHeight="1" x14ac:dyDescent="0.25">
      <c r="B1970" s="40">
        <f>SUBTOTAL(3,C$4:C1970)</f>
        <v>1874</v>
      </c>
      <c r="C1970" s="41">
        <v>24038488</v>
      </c>
      <c r="D1970" s="41" t="s">
        <v>1227</v>
      </c>
      <c r="E1970" s="41" t="s">
        <v>33</v>
      </c>
      <c r="F1970" s="41" t="s">
        <v>1228</v>
      </c>
      <c r="G1970" s="41" t="s">
        <v>28</v>
      </c>
      <c r="H1970" s="42"/>
    </row>
    <row r="1971" spans="2:8" ht="18" customHeight="1" x14ac:dyDescent="0.25">
      <c r="B1971" s="40">
        <f>SUBTOTAL(3,C$4:C1971)</f>
        <v>1875</v>
      </c>
      <c r="C1971" s="41">
        <v>24037759</v>
      </c>
      <c r="D1971" s="41" t="s">
        <v>1238</v>
      </c>
      <c r="E1971" s="41" t="s">
        <v>33</v>
      </c>
      <c r="F1971" s="41" t="s">
        <v>1228</v>
      </c>
      <c r="G1971" s="41" t="s">
        <v>28</v>
      </c>
      <c r="H1971" s="42"/>
    </row>
    <row r="1972" spans="2:8" ht="18" customHeight="1" x14ac:dyDescent="0.25">
      <c r="B1972" s="40">
        <f>SUBTOTAL(3,C$4:C1972)</f>
        <v>1876</v>
      </c>
      <c r="C1972" s="41">
        <v>24023687</v>
      </c>
      <c r="D1972" s="41" t="s">
        <v>1269</v>
      </c>
      <c r="E1972" s="41" t="s">
        <v>33</v>
      </c>
      <c r="F1972" s="41" t="s">
        <v>1228</v>
      </c>
      <c r="G1972" s="41" t="s">
        <v>28</v>
      </c>
      <c r="H1972" s="42"/>
    </row>
    <row r="1973" spans="2:8" ht="18" customHeight="1" x14ac:dyDescent="0.25">
      <c r="B1973" s="40">
        <f>SUBTOTAL(3,C$4:C1973)</f>
        <v>1877</v>
      </c>
      <c r="C1973" s="41">
        <v>24020077</v>
      </c>
      <c r="D1973" s="41" t="s">
        <v>2121</v>
      </c>
      <c r="E1973" s="41" t="s">
        <v>33</v>
      </c>
      <c r="F1973" s="41" t="s">
        <v>1228</v>
      </c>
      <c r="G1973" s="41" t="s">
        <v>28</v>
      </c>
      <c r="H1973" s="42"/>
    </row>
    <row r="1974" spans="2:8" ht="18" customHeight="1" x14ac:dyDescent="0.25">
      <c r="B1974" s="40">
        <f>SUBTOTAL(3,C$4:C1974)</f>
        <v>1878</v>
      </c>
      <c r="C1974" s="41">
        <v>24019459</v>
      </c>
      <c r="D1974" s="41" t="s">
        <v>2160</v>
      </c>
      <c r="E1974" s="41" t="s">
        <v>33</v>
      </c>
      <c r="F1974" s="41" t="s">
        <v>1228</v>
      </c>
      <c r="G1974" s="41" t="s">
        <v>28</v>
      </c>
      <c r="H1974" s="42"/>
    </row>
    <row r="1975" spans="2:8" ht="18" customHeight="1" x14ac:dyDescent="0.25">
      <c r="B1975" s="40">
        <f>SUBTOTAL(3,C$4:C1975)</f>
        <v>1879</v>
      </c>
      <c r="C1975" s="41">
        <v>24036412</v>
      </c>
      <c r="D1975" s="41" t="s">
        <v>2168</v>
      </c>
      <c r="E1975" s="41" t="s">
        <v>33</v>
      </c>
      <c r="F1975" s="41" t="s">
        <v>1228</v>
      </c>
      <c r="G1975" s="41" t="s">
        <v>28</v>
      </c>
      <c r="H1975" s="42"/>
    </row>
    <row r="1976" spans="2:8" ht="18" hidden="1" customHeight="1" x14ac:dyDescent="0.25">
      <c r="B1976" s="40">
        <f>SUBTOTAL(3,C$4:C1976)</f>
        <v>1879</v>
      </c>
      <c r="C1976" s="41">
        <v>24034538</v>
      </c>
      <c r="D1976" s="41" t="s">
        <v>2185</v>
      </c>
      <c r="E1976" s="41" t="s">
        <v>33</v>
      </c>
      <c r="F1976" s="41" t="s">
        <v>1228</v>
      </c>
      <c r="G1976" s="41" t="s">
        <v>27</v>
      </c>
      <c r="H1976" s="42" t="s">
        <v>1148</v>
      </c>
    </row>
    <row r="1977" spans="2:8" ht="18" customHeight="1" x14ac:dyDescent="0.25">
      <c r="B1977" s="40">
        <f>SUBTOTAL(3,C$4:C1977)</f>
        <v>1880</v>
      </c>
      <c r="C1977" s="41">
        <v>24010357</v>
      </c>
      <c r="D1977" s="41" t="s">
        <v>2453</v>
      </c>
      <c r="E1977" s="41" t="s">
        <v>33</v>
      </c>
      <c r="F1977" s="41" t="s">
        <v>1228</v>
      </c>
      <c r="G1977" s="41" t="s">
        <v>28</v>
      </c>
      <c r="H1977" s="42"/>
    </row>
    <row r="1978" spans="2:8" ht="18" customHeight="1" x14ac:dyDescent="0.25">
      <c r="B1978" s="40">
        <f>SUBTOTAL(3,C$4:C1978)</f>
        <v>1881</v>
      </c>
      <c r="C1978" s="41">
        <v>24262357</v>
      </c>
      <c r="D1978" s="41" t="s">
        <v>2323</v>
      </c>
      <c r="E1978" s="41" t="s">
        <v>33</v>
      </c>
      <c r="F1978" s="41" t="s">
        <v>2324</v>
      </c>
      <c r="G1978" s="41" t="s">
        <v>24</v>
      </c>
      <c r="H1978" s="42"/>
    </row>
    <row r="1979" spans="2:8" ht="18" customHeight="1" x14ac:dyDescent="0.25">
      <c r="B1979" s="40">
        <f>SUBTOTAL(3,C$4:C1979)</f>
        <v>1882</v>
      </c>
      <c r="C1979" s="41">
        <v>24316379</v>
      </c>
      <c r="D1979" s="41" t="s">
        <v>1961</v>
      </c>
      <c r="E1979" s="41" t="s">
        <v>33</v>
      </c>
      <c r="F1979" s="41" t="s">
        <v>1962</v>
      </c>
      <c r="G1979" s="41" t="s">
        <v>28</v>
      </c>
      <c r="H1979" s="42"/>
    </row>
    <row r="1980" spans="2:8" ht="18" customHeight="1" x14ac:dyDescent="0.25">
      <c r="B1980" s="40">
        <f>SUBTOTAL(3,C$4:C1980)</f>
        <v>1883</v>
      </c>
      <c r="C1980" s="41">
        <v>24315676</v>
      </c>
      <c r="D1980" s="41" t="s">
        <v>1838</v>
      </c>
      <c r="E1980" s="41" t="s">
        <v>33</v>
      </c>
      <c r="F1980" s="41" t="s">
        <v>1839</v>
      </c>
      <c r="G1980" s="41" t="s">
        <v>28</v>
      </c>
      <c r="H1980" s="42"/>
    </row>
    <row r="1981" spans="2:8" ht="18" customHeight="1" x14ac:dyDescent="0.25">
      <c r="B1981" s="40">
        <f>SUBTOTAL(3,C$4:C1981)</f>
        <v>1884</v>
      </c>
      <c r="C1981" s="41">
        <v>24331552</v>
      </c>
      <c r="D1981" s="41" t="s">
        <v>2166</v>
      </c>
      <c r="E1981" s="41" t="s">
        <v>33</v>
      </c>
      <c r="F1981" s="41" t="s">
        <v>2167</v>
      </c>
      <c r="G1981" s="41" t="s">
        <v>28</v>
      </c>
      <c r="H1981" s="42"/>
    </row>
    <row r="1982" spans="2:8" ht="18" customHeight="1" x14ac:dyDescent="0.25">
      <c r="B1982" s="40">
        <f>SUBTOTAL(3,C$4:C1982)</f>
        <v>1885</v>
      </c>
      <c r="C1982" s="41">
        <v>24312645</v>
      </c>
      <c r="D1982" s="41" t="s">
        <v>1135</v>
      </c>
      <c r="E1982" s="41" t="s">
        <v>33</v>
      </c>
      <c r="F1982" s="41" t="s">
        <v>1136</v>
      </c>
      <c r="G1982" s="41" t="s">
        <v>28</v>
      </c>
      <c r="H1982" s="42"/>
    </row>
    <row r="1983" spans="2:8" ht="18" customHeight="1" x14ac:dyDescent="0.25">
      <c r="B1983" s="40">
        <f>SUBTOTAL(3,C$4:C1983)</f>
        <v>1886</v>
      </c>
      <c r="C1983" s="41">
        <v>24260162</v>
      </c>
      <c r="D1983" s="41" t="s">
        <v>2382</v>
      </c>
      <c r="E1983" s="41" t="s">
        <v>33</v>
      </c>
      <c r="F1983" s="41" t="s">
        <v>2383</v>
      </c>
      <c r="G1983" s="41" t="s">
        <v>28</v>
      </c>
      <c r="H1983" s="42"/>
    </row>
    <row r="1984" spans="2:8" ht="18" customHeight="1" x14ac:dyDescent="0.25">
      <c r="B1984" s="40">
        <f>SUBTOTAL(3,C$4:C1984)</f>
        <v>1887</v>
      </c>
      <c r="C1984" s="41">
        <v>24035909</v>
      </c>
      <c r="D1984" s="41" t="s">
        <v>1088</v>
      </c>
      <c r="E1984" s="41" t="s">
        <v>18</v>
      </c>
      <c r="F1984" s="41" t="s">
        <v>1089</v>
      </c>
      <c r="G1984" s="41" t="s">
        <v>24</v>
      </c>
      <c r="H1984" s="42"/>
    </row>
    <row r="1985" spans="2:8" ht="18" customHeight="1" x14ac:dyDescent="0.25">
      <c r="B1985" s="40">
        <f>SUBTOTAL(3,C$4:C1985)</f>
        <v>1888</v>
      </c>
      <c r="C1985" s="41">
        <v>24029202</v>
      </c>
      <c r="D1985" s="41" t="s">
        <v>2643</v>
      </c>
      <c r="E1985" s="41" t="s">
        <v>34</v>
      </c>
      <c r="F1985" s="41" t="s">
        <v>34</v>
      </c>
      <c r="G1985" s="41" t="s">
        <v>24</v>
      </c>
      <c r="H1985" s="42"/>
    </row>
    <row r="1986" spans="2:8" ht="18" customHeight="1" x14ac:dyDescent="0.25">
      <c r="B1986" s="40">
        <f>SUBTOTAL(3,C$4:C1986)</f>
        <v>1889</v>
      </c>
      <c r="C1986" s="41">
        <v>24225876</v>
      </c>
      <c r="D1986" s="41" t="s">
        <v>2645</v>
      </c>
      <c r="E1986" s="41" t="s">
        <v>34</v>
      </c>
      <c r="F1986" s="41" t="s">
        <v>34</v>
      </c>
      <c r="G1986" s="41" t="s">
        <v>24</v>
      </c>
      <c r="H1986" s="42"/>
    </row>
    <row r="1987" spans="2:8" ht="18" customHeight="1" x14ac:dyDescent="0.25">
      <c r="B1987" s="40">
        <f>SUBTOTAL(3,C$4:C1987)</f>
        <v>1890</v>
      </c>
      <c r="C1987" s="41">
        <v>24033657</v>
      </c>
      <c r="D1987" s="41" t="s">
        <v>2640</v>
      </c>
      <c r="E1987" s="41" t="s">
        <v>34</v>
      </c>
      <c r="F1987" s="41" t="s">
        <v>34</v>
      </c>
      <c r="G1987" s="41" t="s">
        <v>24</v>
      </c>
      <c r="H1987" s="42"/>
    </row>
    <row r="1988" spans="2:8" ht="18" customHeight="1" x14ac:dyDescent="0.25">
      <c r="B1988" s="40">
        <f>SUBTOTAL(3,C$4:C1988)</f>
        <v>1891</v>
      </c>
      <c r="C1988" s="41">
        <v>24025415</v>
      </c>
      <c r="D1988" s="41" t="s">
        <v>2642</v>
      </c>
      <c r="E1988" s="41" t="s">
        <v>34</v>
      </c>
      <c r="F1988" s="41" t="s">
        <v>34</v>
      </c>
      <c r="G1988" s="41" t="s">
        <v>24</v>
      </c>
      <c r="H1988" s="42"/>
    </row>
    <row r="1989" spans="2:8" ht="18" customHeight="1" x14ac:dyDescent="0.25">
      <c r="B1989" s="40">
        <f>SUBTOTAL(3,C$4:C1989)</f>
        <v>1892</v>
      </c>
      <c r="C1989" s="41">
        <v>24035105</v>
      </c>
      <c r="D1989" s="41" t="s">
        <v>2646</v>
      </c>
      <c r="E1989" s="41" t="s">
        <v>34</v>
      </c>
      <c r="F1989" s="41" t="s">
        <v>34</v>
      </c>
      <c r="G1989" s="41" t="s">
        <v>24</v>
      </c>
      <c r="H1989" s="42"/>
    </row>
    <row r="1990" spans="2:8" ht="18" customHeight="1" x14ac:dyDescent="0.25">
      <c r="B1990" s="40">
        <f>SUBTOTAL(3,C$4:C1990)</f>
        <v>1893</v>
      </c>
      <c r="C1990" s="41">
        <v>24028147</v>
      </c>
      <c r="D1990" s="41" t="s">
        <v>2644</v>
      </c>
      <c r="E1990" s="41" t="s">
        <v>34</v>
      </c>
      <c r="F1990" s="41" t="s">
        <v>34</v>
      </c>
      <c r="G1990" s="41" t="s">
        <v>24</v>
      </c>
      <c r="H1990" s="42"/>
    </row>
    <row r="1991" spans="2:8" ht="18" customHeight="1" x14ac:dyDescent="0.25">
      <c r="B1991" s="40">
        <f>SUBTOTAL(3,C$4:C1991)</f>
        <v>1894</v>
      </c>
      <c r="C1991" s="41">
        <v>24026652</v>
      </c>
      <c r="D1991" s="41" t="s">
        <v>2641</v>
      </c>
      <c r="E1991" s="41" t="s">
        <v>34</v>
      </c>
      <c r="F1991" s="41" t="s">
        <v>34</v>
      </c>
      <c r="G1991" s="41" t="s">
        <v>24</v>
      </c>
      <c r="H1991" s="42"/>
    </row>
    <row r="1992" spans="2:8" ht="18" customHeight="1" x14ac:dyDescent="0.25">
      <c r="B1992" s="40">
        <f>SUBTOTAL(3,C$4:C1992)</f>
        <v>1895</v>
      </c>
      <c r="C1992" s="41">
        <v>24031521</v>
      </c>
      <c r="D1992" s="41" t="s">
        <v>1090</v>
      </c>
      <c r="E1992" s="41" t="s">
        <v>18</v>
      </c>
      <c r="F1992" s="41" t="s">
        <v>18</v>
      </c>
      <c r="G1992" s="41" t="s">
        <v>24</v>
      </c>
      <c r="H1992" s="42" t="s">
        <v>1091</v>
      </c>
    </row>
    <row r="1993" spans="2:8" ht="18" customHeight="1" x14ac:dyDescent="0.25">
      <c r="B1993" s="40">
        <f>SUBTOTAL(3,C$4:C1993)</f>
        <v>1896</v>
      </c>
      <c r="C1993" s="41">
        <v>24023082</v>
      </c>
      <c r="D1993" s="41" t="s">
        <v>1094</v>
      </c>
      <c r="E1993" s="41" t="s">
        <v>18</v>
      </c>
      <c r="F1993" s="41" t="s">
        <v>1095</v>
      </c>
      <c r="G1993" s="41" t="s">
        <v>24</v>
      </c>
      <c r="H1993" s="42"/>
    </row>
    <row r="1994" spans="2:8" ht="18" customHeight="1" x14ac:dyDescent="0.25">
      <c r="B1994" s="40">
        <f>SUBTOTAL(3,C$4:C1994)</f>
        <v>1897</v>
      </c>
      <c r="C1994" s="41">
        <v>24120436</v>
      </c>
      <c r="D1994" s="41" t="s">
        <v>1096</v>
      </c>
      <c r="E1994" s="41" t="s">
        <v>18</v>
      </c>
      <c r="F1994" s="41" t="s">
        <v>1095</v>
      </c>
      <c r="G1994" s="41" t="s">
        <v>24</v>
      </c>
      <c r="H1994" s="42" t="s">
        <v>1097</v>
      </c>
    </row>
    <row r="1995" spans="2:8" ht="18" customHeight="1" x14ac:dyDescent="0.25">
      <c r="B1995" s="40">
        <f>SUBTOTAL(3,C$4:C1995)</f>
        <v>1898</v>
      </c>
      <c r="C1995" s="41">
        <v>24020479</v>
      </c>
      <c r="D1995" s="41" t="s">
        <v>1273</v>
      </c>
      <c r="E1995" s="41" t="s">
        <v>18</v>
      </c>
      <c r="F1995" s="41" t="s">
        <v>1099</v>
      </c>
      <c r="G1995" s="41" t="s">
        <v>24</v>
      </c>
      <c r="H1995" s="42"/>
    </row>
    <row r="1996" spans="2:8" ht="18" customHeight="1" x14ac:dyDescent="0.25">
      <c r="B1996" s="40">
        <f>SUBTOTAL(3,C$4:C1996)</f>
        <v>1899</v>
      </c>
      <c r="C1996" s="41">
        <v>24215571</v>
      </c>
      <c r="D1996" s="41" t="s">
        <v>1289</v>
      </c>
      <c r="E1996" s="41" t="s">
        <v>18</v>
      </c>
      <c r="F1996" s="41" t="s">
        <v>1099</v>
      </c>
      <c r="G1996" s="41" t="s">
        <v>24</v>
      </c>
      <c r="H1996" s="42" t="s">
        <v>1290</v>
      </c>
    </row>
    <row r="1997" spans="2:8" ht="18" customHeight="1" x14ac:dyDescent="0.25">
      <c r="B1997" s="40">
        <f>SUBTOTAL(3,C$4:C1997)</f>
        <v>1900</v>
      </c>
      <c r="C1997" s="41">
        <v>24039746</v>
      </c>
      <c r="D1997" s="41" t="s">
        <v>1292</v>
      </c>
      <c r="E1997" s="41" t="s">
        <v>18</v>
      </c>
      <c r="F1997" s="41" t="s">
        <v>1099</v>
      </c>
      <c r="G1997" s="41" t="s">
        <v>24</v>
      </c>
      <c r="H1997" s="42"/>
    </row>
    <row r="1998" spans="2:8" ht="18" customHeight="1" x14ac:dyDescent="0.25">
      <c r="B1998" s="40">
        <f>SUBTOTAL(3,C$4:C1998)</f>
        <v>1901</v>
      </c>
      <c r="C1998" s="41">
        <v>24035663</v>
      </c>
      <c r="D1998" s="41" t="s">
        <v>1098</v>
      </c>
      <c r="E1998" s="41" t="s">
        <v>18</v>
      </c>
      <c r="F1998" s="41" t="s">
        <v>1099</v>
      </c>
      <c r="G1998" s="41" t="s">
        <v>24</v>
      </c>
      <c r="H1998" s="42"/>
    </row>
    <row r="1999" spans="2:8" ht="18" customHeight="1" x14ac:dyDescent="0.25">
      <c r="B1999" s="40">
        <f>SUBTOTAL(3,C$4:C1999)</f>
        <v>1902</v>
      </c>
      <c r="C1999" s="41">
        <v>24215375</v>
      </c>
      <c r="D1999" s="41" t="s">
        <v>1281</v>
      </c>
      <c r="E1999" s="41" t="s">
        <v>18</v>
      </c>
      <c r="F1999" s="41" t="s">
        <v>1099</v>
      </c>
      <c r="G1999" s="41" t="s">
        <v>24</v>
      </c>
      <c r="H1999" s="42"/>
    </row>
    <row r="2000" spans="2:8" ht="18" customHeight="1" x14ac:dyDescent="0.25">
      <c r="B2000" s="40">
        <f>SUBTOTAL(3,C$4:C2000)</f>
        <v>1903</v>
      </c>
      <c r="C2000" s="41">
        <v>24026047</v>
      </c>
      <c r="D2000" s="41" t="s">
        <v>1278</v>
      </c>
      <c r="E2000" s="41" t="s">
        <v>18</v>
      </c>
      <c r="F2000" s="41" t="s">
        <v>1099</v>
      </c>
      <c r="G2000" s="41" t="s">
        <v>24</v>
      </c>
      <c r="H2000" s="42"/>
    </row>
    <row r="2001" spans="2:8" ht="18" customHeight="1" x14ac:dyDescent="0.25">
      <c r="B2001" s="40">
        <f>SUBTOTAL(3,C$4:C2001)</f>
        <v>1904</v>
      </c>
      <c r="C2001" s="41">
        <v>24022680</v>
      </c>
      <c r="D2001" s="41" t="s">
        <v>381</v>
      </c>
      <c r="E2001" s="41" t="s">
        <v>18</v>
      </c>
      <c r="F2001" s="41" t="s">
        <v>1099</v>
      </c>
      <c r="G2001" s="41" t="s">
        <v>24</v>
      </c>
      <c r="H2001" s="42" t="s">
        <v>1286</v>
      </c>
    </row>
    <row r="2002" spans="2:8" ht="18" customHeight="1" x14ac:dyDescent="0.25">
      <c r="B2002" s="40">
        <f>SUBTOTAL(3,C$4:C2002)</f>
        <v>1905</v>
      </c>
      <c r="C2002" s="41">
        <v>24031655</v>
      </c>
      <c r="D2002" s="41" t="s">
        <v>1275</v>
      </c>
      <c r="E2002" s="41" t="s">
        <v>18</v>
      </c>
      <c r="F2002" s="41" t="s">
        <v>1099</v>
      </c>
      <c r="G2002" s="41" t="s">
        <v>24</v>
      </c>
      <c r="H2002" s="42" t="s">
        <v>1276</v>
      </c>
    </row>
    <row r="2003" spans="2:8" ht="18" customHeight="1" x14ac:dyDescent="0.25">
      <c r="B2003" s="40">
        <f>SUBTOTAL(3,C$4:C2003)</f>
        <v>1906</v>
      </c>
      <c r="C2003" s="41">
        <v>24029536</v>
      </c>
      <c r="D2003" s="41" t="s">
        <v>1277</v>
      </c>
      <c r="E2003" s="41" t="s">
        <v>18</v>
      </c>
      <c r="F2003" s="41" t="s">
        <v>1099</v>
      </c>
      <c r="G2003" s="41" t="s">
        <v>24</v>
      </c>
      <c r="H2003" s="42"/>
    </row>
    <row r="2004" spans="2:8" ht="18" customHeight="1" x14ac:dyDescent="0.25">
      <c r="B2004" s="40">
        <f>SUBTOTAL(3,C$4:C2004)</f>
        <v>1907</v>
      </c>
      <c r="C2004" s="41">
        <v>24026205</v>
      </c>
      <c r="D2004" s="41" t="s">
        <v>1274</v>
      </c>
      <c r="E2004" s="41" t="s">
        <v>18</v>
      </c>
      <c r="F2004" s="41" t="s">
        <v>1099</v>
      </c>
      <c r="G2004" s="41" t="s">
        <v>24</v>
      </c>
      <c r="H2004" s="42"/>
    </row>
    <row r="2005" spans="2:8" ht="18" customHeight="1" x14ac:dyDescent="0.25">
      <c r="B2005" s="40">
        <f>SUBTOTAL(3,C$4:C2005)</f>
        <v>1908</v>
      </c>
      <c r="C2005" s="41">
        <v>24024504</v>
      </c>
      <c r="D2005" s="41" t="s">
        <v>1282</v>
      </c>
      <c r="E2005" s="41" t="s">
        <v>18</v>
      </c>
      <c r="F2005" s="41" t="s">
        <v>1099</v>
      </c>
      <c r="G2005" s="41" t="s">
        <v>24</v>
      </c>
      <c r="H2005" s="42"/>
    </row>
    <row r="2006" spans="2:8" ht="18" customHeight="1" x14ac:dyDescent="0.25">
      <c r="B2006" s="40">
        <f>SUBTOTAL(3,C$4:C2006)</f>
        <v>1909</v>
      </c>
      <c r="C2006" s="41">
        <v>24231221</v>
      </c>
      <c r="D2006" s="41" t="s">
        <v>1284</v>
      </c>
      <c r="E2006" s="41" t="s">
        <v>18</v>
      </c>
      <c r="F2006" s="41" t="s">
        <v>1099</v>
      </c>
      <c r="G2006" s="41" t="s">
        <v>24</v>
      </c>
      <c r="H2006" s="42" t="s">
        <v>1285</v>
      </c>
    </row>
    <row r="2007" spans="2:8" ht="18" customHeight="1" x14ac:dyDescent="0.25">
      <c r="B2007" s="40">
        <f>SUBTOTAL(3,C$4:C2007)</f>
        <v>1910</v>
      </c>
      <c r="C2007" s="41">
        <v>24033860</v>
      </c>
      <c r="D2007" s="41" t="s">
        <v>1100</v>
      </c>
      <c r="E2007" s="41" t="s">
        <v>18</v>
      </c>
      <c r="F2007" s="41" t="s">
        <v>1099</v>
      </c>
      <c r="G2007" s="41" t="s">
        <v>24</v>
      </c>
      <c r="H2007" s="42"/>
    </row>
    <row r="2008" spans="2:8" ht="18" customHeight="1" x14ac:dyDescent="0.25">
      <c r="B2008" s="40">
        <f>SUBTOTAL(3,C$4:C2008)</f>
        <v>1911</v>
      </c>
      <c r="C2008" s="41">
        <v>24025727</v>
      </c>
      <c r="D2008" s="41" t="s">
        <v>1291</v>
      </c>
      <c r="E2008" s="41" t="s">
        <v>18</v>
      </c>
      <c r="F2008" s="41" t="s">
        <v>1099</v>
      </c>
      <c r="G2008" s="41" t="s">
        <v>24</v>
      </c>
      <c r="H2008" s="42"/>
    </row>
    <row r="2009" spans="2:8" ht="18" customHeight="1" x14ac:dyDescent="0.25">
      <c r="B2009" s="40">
        <f>SUBTOTAL(3,C$4:C2009)</f>
        <v>1912</v>
      </c>
      <c r="C2009" s="41">
        <v>24026397</v>
      </c>
      <c r="D2009" s="41" t="s">
        <v>1272</v>
      </c>
      <c r="E2009" s="41" t="s">
        <v>18</v>
      </c>
      <c r="F2009" s="41" t="s">
        <v>1099</v>
      </c>
      <c r="G2009" s="41" t="s">
        <v>24</v>
      </c>
      <c r="H2009" s="42"/>
    </row>
    <row r="2010" spans="2:8" ht="18" customHeight="1" x14ac:dyDescent="0.25">
      <c r="B2010" s="40">
        <f>SUBTOTAL(3,C$4:C2010)</f>
        <v>1913</v>
      </c>
      <c r="C2010" s="41">
        <v>24030646</v>
      </c>
      <c r="D2010" s="41" t="s">
        <v>1279</v>
      </c>
      <c r="E2010" s="41" t="s">
        <v>18</v>
      </c>
      <c r="F2010" s="41" t="s">
        <v>1099</v>
      </c>
      <c r="G2010" s="41" t="s">
        <v>24</v>
      </c>
      <c r="H2010" s="42"/>
    </row>
    <row r="2011" spans="2:8" ht="18" customHeight="1" x14ac:dyDescent="0.25">
      <c r="B2011" s="40">
        <f>SUBTOTAL(3,C$4:C2011)</f>
        <v>1914</v>
      </c>
      <c r="C2011" s="41">
        <v>24029718</v>
      </c>
      <c r="D2011" s="41" t="s">
        <v>1283</v>
      </c>
      <c r="E2011" s="41" t="s">
        <v>18</v>
      </c>
      <c r="F2011" s="41" t="s">
        <v>1099</v>
      </c>
      <c r="G2011" s="41" t="s">
        <v>24</v>
      </c>
      <c r="H2011" s="42"/>
    </row>
    <row r="2012" spans="2:8" ht="18" customHeight="1" x14ac:dyDescent="0.25">
      <c r="B2012" s="40">
        <f>SUBTOTAL(3,C$4:C2012)</f>
        <v>1915</v>
      </c>
      <c r="C2012" s="41">
        <v>24020440</v>
      </c>
      <c r="D2012" s="41" t="s">
        <v>1287</v>
      </c>
      <c r="E2012" s="41" t="s">
        <v>18</v>
      </c>
      <c r="F2012" s="41" t="s">
        <v>1099</v>
      </c>
      <c r="G2012" s="41" t="s">
        <v>24</v>
      </c>
      <c r="H2012" s="42" t="s">
        <v>1288</v>
      </c>
    </row>
    <row r="2013" spans="2:8" ht="18" customHeight="1" x14ac:dyDescent="0.25">
      <c r="B2013" s="40">
        <f>SUBTOTAL(3,C$4:C2013)</f>
        <v>1916</v>
      </c>
      <c r="C2013" s="41">
        <v>24070300</v>
      </c>
      <c r="D2013" s="41" t="s">
        <v>1280</v>
      </c>
      <c r="E2013" s="41" t="s">
        <v>18</v>
      </c>
      <c r="F2013" s="41" t="s">
        <v>1099</v>
      </c>
      <c r="G2013" s="41" t="s">
        <v>24</v>
      </c>
      <c r="H2013" s="42"/>
    </row>
    <row r="2014" spans="2:8" ht="18" customHeight="1" x14ac:dyDescent="0.25">
      <c r="B2014" s="40">
        <f>SUBTOTAL(3,C$4:C2014)</f>
        <v>1917</v>
      </c>
      <c r="C2014" s="41">
        <v>24027541</v>
      </c>
      <c r="D2014" s="41" t="s">
        <v>1298</v>
      </c>
      <c r="E2014" s="41" t="s">
        <v>18</v>
      </c>
      <c r="F2014" s="41" t="s">
        <v>1294</v>
      </c>
      <c r="G2014" s="41" t="s">
        <v>24</v>
      </c>
      <c r="H2014" s="42"/>
    </row>
    <row r="2015" spans="2:8" ht="18" customHeight="1" x14ac:dyDescent="0.25">
      <c r="B2015" s="40">
        <f>SUBTOTAL(3,C$4:C2015)</f>
        <v>1918</v>
      </c>
      <c r="C2015" s="41">
        <v>24020644</v>
      </c>
      <c r="D2015" s="41" t="s">
        <v>1295</v>
      </c>
      <c r="E2015" s="41" t="s">
        <v>18</v>
      </c>
      <c r="F2015" s="41" t="s">
        <v>1294</v>
      </c>
      <c r="G2015" s="41" t="s">
        <v>24</v>
      </c>
      <c r="H2015" s="42"/>
    </row>
    <row r="2016" spans="2:8" ht="18" customHeight="1" x14ac:dyDescent="0.25">
      <c r="B2016" s="40">
        <f>SUBTOTAL(3,C$4:C2016)</f>
        <v>1919</v>
      </c>
      <c r="C2016" s="41">
        <v>24021155</v>
      </c>
      <c r="D2016" s="41" t="s">
        <v>1297</v>
      </c>
      <c r="E2016" s="41" t="s">
        <v>18</v>
      </c>
      <c r="F2016" s="41" t="s">
        <v>1294</v>
      </c>
      <c r="G2016" s="41" t="s">
        <v>24</v>
      </c>
      <c r="H2016" s="42"/>
    </row>
    <row r="2017" spans="2:8" ht="18" customHeight="1" x14ac:dyDescent="0.25">
      <c r="B2017" s="40">
        <f>SUBTOTAL(3,C$4:C2017)</f>
        <v>1920</v>
      </c>
      <c r="C2017" s="41">
        <v>24027605</v>
      </c>
      <c r="D2017" s="41" t="s">
        <v>1306</v>
      </c>
      <c r="E2017" s="41" t="s">
        <v>18</v>
      </c>
      <c r="F2017" s="41" t="s">
        <v>1294</v>
      </c>
      <c r="G2017" s="41" t="s">
        <v>24</v>
      </c>
      <c r="H2017" s="42"/>
    </row>
    <row r="2018" spans="2:8" ht="18" customHeight="1" x14ac:dyDescent="0.25">
      <c r="B2018" s="40">
        <f>SUBTOTAL(3,C$4:C2018)</f>
        <v>1921</v>
      </c>
      <c r="C2018" s="41">
        <v>24037603</v>
      </c>
      <c r="D2018" s="41" t="s">
        <v>1303</v>
      </c>
      <c r="E2018" s="41" t="s">
        <v>18</v>
      </c>
      <c r="F2018" s="41" t="s">
        <v>1294</v>
      </c>
      <c r="G2018" s="41" t="s">
        <v>24</v>
      </c>
      <c r="H2018" s="42"/>
    </row>
    <row r="2019" spans="2:8" ht="18" customHeight="1" x14ac:dyDescent="0.25">
      <c r="B2019" s="40">
        <f>SUBTOTAL(3,C$4:C2019)</f>
        <v>1922</v>
      </c>
      <c r="C2019" s="41">
        <v>24020606</v>
      </c>
      <c r="D2019" s="41" t="s">
        <v>1304</v>
      </c>
      <c r="E2019" s="41" t="s">
        <v>18</v>
      </c>
      <c r="F2019" s="41" t="s">
        <v>1294</v>
      </c>
      <c r="G2019" s="41" t="s">
        <v>24</v>
      </c>
      <c r="H2019" s="42" t="s">
        <v>1305</v>
      </c>
    </row>
    <row r="2020" spans="2:8" ht="18" customHeight="1" x14ac:dyDescent="0.25">
      <c r="B2020" s="40">
        <f>SUBTOTAL(3,C$4:C2020)</f>
        <v>1923</v>
      </c>
      <c r="C2020" s="41">
        <v>24021065</v>
      </c>
      <c r="D2020" s="41" t="s">
        <v>1302</v>
      </c>
      <c r="E2020" s="41" t="s">
        <v>18</v>
      </c>
      <c r="F2020" s="41" t="s">
        <v>1294</v>
      </c>
      <c r="G2020" s="41" t="s">
        <v>24</v>
      </c>
      <c r="H2020" s="42"/>
    </row>
    <row r="2021" spans="2:8" ht="18" customHeight="1" x14ac:dyDescent="0.25">
      <c r="B2021" s="40">
        <f>SUBTOTAL(3,C$4:C2021)</f>
        <v>1924</v>
      </c>
      <c r="C2021" s="41">
        <v>24038397</v>
      </c>
      <c r="D2021" s="41" t="s">
        <v>1293</v>
      </c>
      <c r="E2021" s="41" t="s">
        <v>18</v>
      </c>
      <c r="F2021" s="41" t="s">
        <v>1294</v>
      </c>
      <c r="G2021" s="41" t="s">
        <v>24</v>
      </c>
      <c r="H2021" s="42"/>
    </row>
    <row r="2022" spans="2:8" ht="18" customHeight="1" x14ac:dyDescent="0.25">
      <c r="B2022" s="40">
        <f>SUBTOTAL(3,C$4:C2022)</f>
        <v>1925</v>
      </c>
      <c r="C2022" s="41">
        <v>24022759</v>
      </c>
      <c r="D2022" s="41" t="s">
        <v>1301</v>
      </c>
      <c r="E2022" s="41" t="s">
        <v>18</v>
      </c>
      <c r="F2022" s="41" t="s">
        <v>1294</v>
      </c>
      <c r="G2022" s="41" t="s">
        <v>24</v>
      </c>
      <c r="H2022" s="42"/>
    </row>
    <row r="2023" spans="2:8" ht="18" customHeight="1" x14ac:dyDescent="0.25">
      <c r="B2023" s="40">
        <f>SUBTOTAL(3,C$4:C2023)</f>
        <v>1926</v>
      </c>
      <c r="C2023" s="41">
        <v>24031272</v>
      </c>
      <c r="D2023" s="41" t="s">
        <v>1296</v>
      </c>
      <c r="E2023" s="41" t="s">
        <v>18</v>
      </c>
      <c r="F2023" s="41" t="s">
        <v>1294</v>
      </c>
      <c r="G2023" s="41" t="s">
        <v>24</v>
      </c>
      <c r="H2023" s="42"/>
    </row>
    <row r="2024" spans="2:8" ht="18" customHeight="1" x14ac:dyDescent="0.25">
      <c r="B2024" s="40">
        <f>SUBTOTAL(3,C$4:C2024)</f>
        <v>1927</v>
      </c>
      <c r="C2024" s="41">
        <v>24030483</v>
      </c>
      <c r="D2024" s="41" t="s">
        <v>1299</v>
      </c>
      <c r="E2024" s="41" t="s">
        <v>18</v>
      </c>
      <c r="F2024" s="41" t="s">
        <v>1294</v>
      </c>
      <c r="G2024" s="41" t="s">
        <v>24</v>
      </c>
      <c r="H2024" s="42"/>
    </row>
    <row r="2025" spans="2:8" ht="18" customHeight="1" x14ac:dyDescent="0.25">
      <c r="B2025" s="40">
        <f>SUBTOTAL(3,C$4:C2025)</f>
        <v>1928</v>
      </c>
      <c r="C2025" s="41">
        <v>24020871</v>
      </c>
      <c r="D2025" s="41" t="s">
        <v>1300</v>
      </c>
      <c r="E2025" s="41" t="s">
        <v>18</v>
      </c>
      <c r="F2025" s="41" t="s">
        <v>1294</v>
      </c>
      <c r="G2025" s="41" t="s">
        <v>24</v>
      </c>
      <c r="H2025" s="42"/>
    </row>
    <row r="2026" spans="2:8" ht="18" customHeight="1" x14ac:dyDescent="0.25">
      <c r="B2026" s="40">
        <f>SUBTOTAL(3,C$4:C2026)</f>
        <v>1929</v>
      </c>
      <c r="C2026" s="41">
        <v>24032975</v>
      </c>
      <c r="D2026" s="41" t="s">
        <v>1322</v>
      </c>
      <c r="E2026" s="41" t="s">
        <v>18</v>
      </c>
      <c r="F2026" s="41" t="s">
        <v>1308</v>
      </c>
      <c r="G2026" s="41" t="s">
        <v>24</v>
      </c>
      <c r="H2026" s="42"/>
    </row>
    <row r="2027" spans="2:8" ht="18" customHeight="1" x14ac:dyDescent="0.25">
      <c r="B2027" s="40">
        <f>SUBTOTAL(3,C$4:C2027)</f>
        <v>1930</v>
      </c>
      <c r="C2027" s="41">
        <v>24031533</v>
      </c>
      <c r="D2027" s="41" t="s">
        <v>1312</v>
      </c>
      <c r="E2027" s="41" t="s">
        <v>18</v>
      </c>
      <c r="F2027" s="41" t="s">
        <v>1308</v>
      </c>
      <c r="G2027" s="41" t="s">
        <v>24</v>
      </c>
      <c r="H2027" s="42"/>
    </row>
    <row r="2028" spans="2:8" ht="18" customHeight="1" x14ac:dyDescent="0.25">
      <c r="B2028" s="40">
        <f>SUBTOTAL(3,C$4:C2028)</f>
        <v>1931</v>
      </c>
      <c r="C2028" s="41">
        <v>24256884</v>
      </c>
      <c r="D2028" s="41" t="s">
        <v>1324</v>
      </c>
      <c r="E2028" s="41" t="s">
        <v>18</v>
      </c>
      <c r="F2028" s="41" t="s">
        <v>1308</v>
      </c>
      <c r="G2028" s="41" t="s">
        <v>24</v>
      </c>
      <c r="H2028" s="42"/>
    </row>
    <row r="2029" spans="2:8" ht="18" customHeight="1" x14ac:dyDescent="0.25">
      <c r="B2029" s="40">
        <f>SUBTOTAL(3,C$4:C2029)</f>
        <v>1932</v>
      </c>
      <c r="C2029" s="41">
        <v>24024418</v>
      </c>
      <c r="D2029" s="41" t="s">
        <v>1319</v>
      </c>
      <c r="E2029" s="41" t="s">
        <v>18</v>
      </c>
      <c r="F2029" s="41" t="s">
        <v>1308</v>
      </c>
      <c r="G2029" s="41" t="s">
        <v>24</v>
      </c>
      <c r="H2029" s="42"/>
    </row>
    <row r="2030" spans="2:8" ht="18" customHeight="1" x14ac:dyDescent="0.25">
      <c r="B2030" s="40">
        <f>SUBTOTAL(3,C$4:C2030)</f>
        <v>1933</v>
      </c>
      <c r="C2030" s="41">
        <v>24032929</v>
      </c>
      <c r="D2030" s="41" t="s">
        <v>1316</v>
      </c>
      <c r="E2030" s="41" t="s">
        <v>18</v>
      </c>
      <c r="F2030" s="41" t="s">
        <v>1308</v>
      </c>
      <c r="G2030" s="41" t="s">
        <v>24</v>
      </c>
      <c r="H2030" s="42"/>
    </row>
    <row r="2031" spans="2:8" ht="18" customHeight="1" x14ac:dyDescent="0.25">
      <c r="B2031" s="40">
        <f>SUBTOTAL(3,C$4:C2031)</f>
        <v>1934</v>
      </c>
      <c r="C2031" s="41">
        <v>24029629</v>
      </c>
      <c r="D2031" s="41" t="s">
        <v>1323</v>
      </c>
      <c r="E2031" s="41" t="s">
        <v>18</v>
      </c>
      <c r="F2031" s="41" t="s">
        <v>1308</v>
      </c>
      <c r="G2031" s="41" t="s">
        <v>24</v>
      </c>
      <c r="H2031" s="42"/>
    </row>
    <row r="2032" spans="2:8" ht="18" customHeight="1" x14ac:dyDescent="0.25">
      <c r="B2032" s="40">
        <f>SUBTOTAL(3,C$4:C2032)</f>
        <v>1935</v>
      </c>
      <c r="C2032" s="41">
        <v>24035051</v>
      </c>
      <c r="D2032" s="41" t="s">
        <v>1318</v>
      </c>
      <c r="E2032" s="41" t="s">
        <v>18</v>
      </c>
      <c r="F2032" s="41" t="s">
        <v>1308</v>
      </c>
      <c r="G2032" s="41" t="s">
        <v>24</v>
      </c>
      <c r="H2032" s="42"/>
    </row>
    <row r="2033" spans="2:8" ht="18" customHeight="1" x14ac:dyDescent="0.25">
      <c r="B2033" s="40">
        <f>SUBTOTAL(3,C$4:C2033)</f>
        <v>1936</v>
      </c>
      <c r="C2033" s="41">
        <v>24022647</v>
      </c>
      <c r="D2033" s="41" t="s">
        <v>1317</v>
      </c>
      <c r="E2033" s="41" t="s">
        <v>18</v>
      </c>
      <c r="F2033" s="41" t="s">
        <v>1308</v>
      </c>
      <c r="G2033" s="41" t="s">
        <v>24</v>
      </c>
      <c r="H2033" s="42"/>
    </row>
    <row r="2034" spans="2:8" ht="18" customHeight="1" x14ac:dyDescent="0.25">
      <c r="B2034" s="40">
        <f>SUBTOTAL(3,C$4:C2034)</f>
        <v>1937</v>
      </c>
      <c r="C2034" s="41">
        <v>24027859</v>
      </c>
      <c r="D2034" s="41" t="s">
        <v>1307</v>
      </c>
      <c r="E2034" s="41" t="s">
        <v>18</v>
      </c>
      <c r="F2034" s="41" t="s">
        <v>1308</v>
      </c>
      <c r="G2034" s="41" t="s">
        <v>24</v>
      </c>
      <c r="H2034" s="42" t="s">
        <v>1309</v>
      </c>
    </row>
    <row r="2035" spans="2:8" ht="18" customHeight="1" x14ac:dyDescent="0.25">
      <c r="B2035" s="40">
        <f>SUBTOTAL(3,C$4:C2035)</f>
        <v>1938</v>
      </c>
      <c r="C2035" s="41">
        <v>24023458</v>
      </c>
      <c r="D2035" s="41" t="s">
        <v>1315</v>
      </c>
      <c r="E2035" s="41" t="s">
        <v>18</v>
      </c>
      <c r="F2035" s="41" t="s">
        <v>1308</v>
      </c>
      <c r="G2035" s="41" t="s">
        <v>24</v>
      </c>
      <c r="H2035" s="42"/>
    </row>
    <row r="2036" spans="2:8" ht="18" customHeight="1" x14ac:dyDescent="0.25">
      <c r="B2036" s="40">
        <f>SUBTOTAL(3,C$4:C2036)</f>
        <v>1939</v>
      </c>
      <c r="C2036" s="41">
        <v>24029817</v>
      </c>
      <c r="D2036" s="41" t="s">
        <v>1314</v>
      </c>
      <c r="E2036" s="41" t="s">
        <v>18</v>
      </c>
      <c r="F2036" s="41" t="s">
        <v>1308</v>
      </c>
      <c r="G2036" s="41" t="s">
        <v>24</v>
      </c>
      <c r="H2036" s="42"/>
    </row>
    <row r="2037" spans="2:8" ht="18" customHeight="1" x14ac:dyDescent="0.25">
      <c r="B2037" s="40">
        <f>SUBTOTAL(3,C$4:C2037)</f>
        <v>1940</v>
      </c>
      <c r="C2037" s="41">
        <v>24243708</v>
      </c>
      <c r="D2037" s="41" t="s">
        <v>1320</v>
      </c>
      <c r="E2037" s="41" t="s">
        <v>18</v>
      </c>
      <c r="F2037" s="41" t="s">
        <v>1308</v>
      </c>
      <c r="G2037" s="41" t="s">
        <v>24</v>
      </c>
      <c r="H2037" s="42"/>
    </row>
    <row r="2038" spans="2:8" ht="18" customHeight="1" x14ac:dyDescent="0.25">
      <c r="B2038" s="40">
        <f>SUBTOTAL(3,C$4:C2038)</f>
        <v>1941</v>
      </c>
      <c r="C2038" s="41">
        <v>24027364</v>
      </c>
      <c r="D2038" s="41" t="s">
        <v>1310</v>
      </c>
      <c r="E2038" s="41" t="s">
        <v>18</v>
      </c>
      <c r="F2038" s="41" t="s">
        <v>1308</v>
      </c>
      <c r="G2038" s="41" t="s">
        <v>24</v>
      </c>
      <c r="H2038" s="42" t="s">
        <v>1311</v>
      </c>
    </row>
    <row r="2039" spans="2:8" ht="18" customHeight="1" x14ac:dyDescent="0.25">
      <c r="B2039" s="40">
        <f>SUBTOTAL(3,C$4:C2039)</f>
        <v>1942</v>
      </c>
      <c r="C2039" s="41">
        <v>24026420</v>
      </c>
      <c r="D2039" s="41" t="s">
        <v>1313</v>
      </c>
      <c r="E2039" s="41" t="s">
        <v>18</v>
      </c>
      <c r="F2039" s="41" t="s">
        <v>1308</v>
      </c>
      <c r="G2039" s="41" t="s">
        <v>24</v>
      </c>
      <c r="H2039" s="42"/>
    </row>
    <row r="2040" spans="2:8" ht="18" customHeight="1" x14ac:dyDescent="0.25">
      <c r="B2040" s="40">
        <f>SUBTOTAL(3,C$4:C2040)</f>
        <v>1943</v>
      </c>
      <c r="C2040" s="41">
        <v>24030769</v>
      </c>
      <c r="D2040" s="41" t="s">
        <v>1321</v>
      </c>
      <c r="E2040" s="41" t="s">
        <v>18</v>
      </c>
      <c r="F2040" s="41" t="s">
        <v>1308</v>
      </c>
      <c r="G2040" s="41" t="s">
        <v>24</v>
      </c>
      <c r="H2040" s="42"/>
    </row>
    <row r="2041" spans="2:8" ht="18" customHeight="1" x14ac:dyDescent="0.25">
      <c r="B2041" s="40">
        <f>SUBTOTAL(3,C$4:C2041)</f>
        <v>1944</v>
      </c>
      <c r="C2041" s="41">
        <v>24030837</v>
      </c>
      <c r="D2041" s="41" t="s">
        <v>1328</v>
      </c>
      <c r="E2041" s="41" t="s">
        <v>18</v>
      </c>
      <c r="F2041" s="41" t="s">
        <v>1093</v>
      </c>
      <c r="G2041" s="41" t="s">
        <v>24</v>
      </c>
      <c r="H2041" s="42"/>
    </row>
    <row r="2042" spans="2:8" ht="18" customHeight="1" x14ac:dyDescent="0.25">
      <c r="B2042" s="40">
        <f>SUBTOTAL(3,C$4:C2042)</f>
        <v>1945</v>
      </c>
      <c r="C2042" s="41">
        <v>24034349</v>
      </c>
      <c r="D2042" s="41" t="s">
        <v>1329</v>
      </c>
      <c r="E2042" s="41" t="s">
        <v>18</v>
      </c>
      <c r="F2042" s="41" t="s">
        <v>1093</v>
      </c>
      <c r="G2042" s="41" t="s">
        <v>24</v>
      </c>
      <c r="H2042" s="42"/>
    </row>
    <row r="2043" spans="2:8" ht="18" customHeight="1" x14ac:dyDescent="0.25">
      <c r="B2043" s="40">
        <f>SUBTOTAL(3,C$4:C2043)</f>
        <v>1946</v>
      </c>
      <c r="C2043" s="41">
        <v>24322662</v>
      </c>
      <c r="D2043" s="41" t="s">
        <v>1092</v>
      </c>
      <c r="E2043" s="41" t="s">
        <v>18</v>
      </c>
      <c r="F2043" s="41" t="s">
        <v>1093</v>
      </c>
      <c r="G2043" s="41" t="s">
        <v>24</v>
      </c>
      <c r="H2043" s="42"/>
    </row>
    <row r="2044" spans="2:8" ht="18" customHeight="1" x14ac:dyDescent="0.25">
      <c r="B2044" s="40">
        <f>SUBTOTAL(3,C$4:C2044)</f>
        <v>1947</v>
      </c>
      <c r="C2044" s="41">
        <v>24122217</v>
      </c>
      <c r="D2044" s="41" t="s">
        <v>1325</v>
      </c>
      <c r="E2044" s="41" t="s">
        <v>18</v>
      </c>
      <c r="F2044" s="41" t="s">
        <v>1093</v>
      </c>
      <c r="G2044" s="41" t="s">
        <v>24</v>
      </c>
      <c r="H2044" s="42" t="s">
        <v>1326</v>
      </c>
    </row>
    <row r="2045" spans="2:8" ht="18" customHeight="1" x14ac:dyDescent="0.25">
      <c r="B2045" s="40">
        <f>SUBTOTAL(3,C$4:C2045)</f>
        <v>1948</v>
      </c>
      <c r="C2045" s="41">
        <v>24022292</v>
      </c>
      <c r="D2045" s="41" t="s">
        <v>1327</v>
      </c>
      <c r="E2045" s="41" t="s">
        <v>18</v>
      </c>
      <c r="F2045" s="41" t="s">
        <v>1093</v>
      </c>
      <c r="G2045" s="41" t="s">
        <v>24</v>
      </c>
      <c r="H2045" s="42"/>
    </row>
    <row r="2046" spans="2:8" ht="18" customHeight="1" x14ac:dyDescent="0.25">
      <c r="B2046" s="40">
        <f>SUBTOTAL(3,C$4:C2046)</f>
        <v>1949</v>
      </c>
      <c r="C2046" s="41">
        <v>24220104</v>
      </c>
      <c r="D2046" s="41" t="s">
        <v>1330</v>
      </c>
      <c r="E2046" s="41" t="s">
        <v>18</v>
      </c>
      <c r="F2046" s="41" t="s">
        <v>1093</v>
      </c>
      <c r="G2046" s="41" t="s">
        <v>24</v>
      </c>
      <c r="H2046" s="42"/>
    </row>
    <row r="2047" spans="2:8" ht="18" customHeight="1" x14ac:dyDescent="0.25">
      <c r="B2047" s="40">
        <f>SUBTOTAL(3,C$4:C2047)</f>
        <v>1950</v>
      </c>
      <c r="C2047" s="41">
        <v>24225869</v>
      </c>
      <c r="D2047" s="41" t="s">
        <v>1335</v>
      </c>
      <c r="E2047" s="41" t="s">
        <v>18</v>
      </c>
      <c r="F2047" s="41" t="s">
        <v>1332</v>
      </c>
      <c r="G2047" s="41" t="s">
        <v>24</v>
      </c>
      <c r="H2047" s="42"/>
    </row>
    <row r="2048" spans="2:8" ht="18" customHeight="1" x14ac:dyDescent="0.25">
      <c r="B2048" s="40">
        <f>SUBTOTAL(3,C$4:C2048)</f>
        <v>1951</v>
      </c>
      <c r="C2048" s="41">
        <v>24029162</v>
      </c>
      <c r="D2048" s="41" t="s">
        <v>1334</v>
      </c>
      <c r="E2048" s="41" t="s">
        <v>18</v>
      </c>
      <c r="F2048" s="41" t="s">
        <v>1332</v>
      </c>
      <c r="G2048" s="41" t="s">
        <v>24</v>
      </c>
      <c r="H2048" s="42"/>
    </row>
    <row r="2049" spans="2:8" ht="18" customHeight="1" x14ac:dyDescent="0.25">
      <c r="B2049" s="40">
        <f>SUBTOTAL(3,C$4:C2049)</f>
        <v>1952</v>
      </c>
      <c r="C2049" s="41">
        <v>24039338</v>
      </c>
      <c r="D2049" s="41" t="s">
        <v>1333</v>
      </c>
      <c r="E2049" s="41" t="s">
        <v>18</v>
      </c>
      <c r="F2049" s="41" t="s">
        <v>1332</v>
      </c>
      <c r="G2049" s="41" t="s">
        <v>24</v>
      </c>
      <c r="H2049" s="42"/>
    </row>
    <row r="2050" spans="2:8" ht="18" customHeight="1" x14ac:dyDescent="0.25">
      <c r="B2050" s="40">
        <f>SUBTOTAL(3,C$4:C2050)</f>
        <v>1953</v>
      </c>
      <c r="C2050" s="41">
        <v>24028876</v>
      </c>
      <c r="D2050" s="41" t="s">
        <v>1331</v>
      </c>
      <c r="E2050" s="41" t="s">
        <v>18</v>
      </c>
      <c r="F2050" s="41" t="s">
        <v>1332</v>
      </c>
      <c r="G2050" s="41" t="s">
        <v>24</v>
      </c>
      <c r="H2050" s="42"/>
    </row>
    <row r="2051" spans="2:8" ht="18" customHeight="1" x14ac:dyDescent="0.25">
      <c r="B2051" s="40">
        <f>SUBTOTAL(3,C$4:C2051)</f>
        <v>1954</v>
      </c>
      <c r="C2051" s="41">
        <v>24032298</v>
      </c>
      <c r="D2051" s="41" t="s">
        <v>1336</v>
      </c>
      <c r="E2051" s="41" t="s">
        <v>18</v>
      </c>
      <c r="F2051" s="41" t="s">
        <v>1337</v>
      </c>
      <c r="G2051" s="41" t="s">
        <v>24</v>
      </c>
      <c r="H2051" s="42"/>
    </row>
    <row r="2052" spans="2:8" ht="18" customHeight="1" x14ac:dyDescent="0.25">
      <c r="B2052" s="40">
        <f>SUBTOTAL(3,C$4:C2052)</f>
        <v>1955</v>
      </c>
      <c r="C2052" s="41">
        <v>24031813</v>
      </c>
      <c r="D2052" s="41" t="s">
        <v>1339</v>
      </c>
      <c r="E2052" s="41" t="s">
        <v>18</v>
      </c>
      <c r="F2052" s="41" t="s">
        <v>1337</v>
      </c>
      <c r="G2052" s="41" t="s">
        <v>24</v>
      </c>
      <c r="H2052" s="42"/>
    </row>
    <row r="2053" spans="2:8" ht="18" customHeight="1" x14ac:dyDescent="0.25">
      <c r="B2053" s="40">
        <f>SUBTOTAL(3,C$4:C2053)</f>
        <v>1956</v>
      </c>
      <c r="C2053" s="41">
        <v>24034736</v>
      </c>
      <c r="D2053" s="41" t="s">
        <v>1338</v>
      </c>
      <c r="E2053" s="41" t="s">
        <v>18</v>
      </c>
      <c r="F2053" s="41" t="s">
        <v>1337</v>
      </c>
      <c r="G2053" s="41" t="s">
        <v>24</v>
      </c>
      <c r="H2053" s="42"/>
    </row>
    <row r="2054" spans="2:8" ht="18" customHeight="1" x14ac:dyDescent="0.25">
      <c r="B2054" s="40">
        <f>SUBTOTAL(3,C$4:C2054)</f>
        <v>1957</v>
      </c>
      <c r="C2054" s="41">
        <v>24024802</v>
      </c>
      <c r="D2054" s="41" t="s">
        <v>1340</v>
      </c>
      <c r="E2054" s="41" t="s">
        <v>18</v>
      </c>
      <c r="F2054" s="41" t="s">
        <v>1337</v>
      </c>
      <c r="G2054" s="41" t="s">
        <v>24</v>
      </c>
      <c r="H2054" s="42"/>
    </row>
    <row r="2055" spans="2:8" ht="18" customHeight="1" x14ac:dyDescent="0.25">
      <c r="B2055" s="40">
        <f>SUBTOTAL(3,C$4:C2055)</f>
        <v>1958</v>
      </c>
      <c r="C2055" s="41">
        <v>24039051</v>
      </c>
      <c r="D2055" s="41" t="s">
        <v>1341</v>
      </c>
      <c r="E2055" s="41" t="s">
        <v>18</v>
      </c>
      <c r="F2055" s="41" t="s">
        <v>1342</v>
      </c>
      <c r="G2055" s="41" t="s">
        <v>24</v>
      </c>
      <c r="H2055" s="42" t="s">
        <v>1343</v>
      </c>
    </row>
    <row r="2056" spans="2:8" ht="18" customHeight="1" x14ac:dyDescent="0.25">
      <c r="B2056" s="40">
        <f>SUBTOTAL(3,C$4:C2056)</f>
        <v>1959</v>
      </c>
      <c r="C2056" s="41">
        <v>24023376</v>
      </c>
      <c r="D2056" s="41" t="s">
        <v>1344</v>
      </c>
      <c r="E2056" s="41" t="s">
        <v>18</v>
      </c>
      <c r="F2056" s="41" t="s">
        <v>1342</v>
      </c>
      <c r="G2056" s="41" t="s">
        <v>24</v>
      </c>
      <c r="H2056" s="42"/>
    </row>
    <row r="2057" spans="2:8" ht="18" customHeight="1" x14ac:dyDescent="0.25">
      <c r="B2057" s="40">
        <f>SUBTOTAL(3,C$4:C2057)</f>
        <v>1960</v>
      </c>
      <c r="C2057" s="41">
        <v>24035684</v>
      </c>
      <c r="D2057" s="41" t="s">
        <v>1345</v>
      </c>
      <c r="E2057" s="41" t="s">
        <v>18</v>
      </c>
      <c r="F2057" s="41" t="s">
        <v>1346</v>
      </c>
      <c r="G2057" s="41" t="s">
        <v>24</v>
      </c>
      <c r="H2057" s="42"/>
    </row>
    <row r="2058" spans="2:8" ht="18" customHeight="1" x14ac:dyDescent="0.25">
      <c r="B2058" s="40">
        <f>SUBTOTAL(3,C$4:C2058)</f>
        <v>1961</v>
      </c>
      <c r="C2058" s="41">
        <v>24019490</v>
      </c>
      <c r="D2058" s="41" t="s">
        <v>1349</v>
      </c>
      <c r="E2058" s="41" t="s">
        <v>18</v>
      </c>
      <c r="F2058" s="41" t="s">
        <v>1348</v>
      </c>
      <c r="G2058" s="41" t="s">
        <v>24</v>
      </c>
      <c r="H2058" s="42"/>
    </row>
    <row r="2059" spans="2:8" ht="18" customHeight="1" x14ac:dyDescent="0.25">
      <c r="B2059" s="40">
        <f>SUBTOTAL(3,C$4:C2059)</f>
        <v>1962</v>
      </c>
      <c r="C2059" s="41">
        <v>24031016</v>
      </c>
      <c r="D2059" s="41" t="s">
        <v>1354</v>
      </c>
      <c r="E2059" s="41" t="s">
        <v>18</v>
      </c>
      <c r="F2059" s="41" t="s">
        <v>1348</v>
      </c>
      <c r="G2059" s="41" t="s">
        <v>24</v>
      </c>
      <c r="H2059" s="42"/>
    </row>
    <row r="2060" spans="2:8" ht="18" customHeight="1" x14ac:dyDescent="0.25">
      <c r="B2060" s="40">
        <f>SUBTOTAL(3,C$4:C2060)</f>
        <v>1963</v>
      </c>
      <c r="C2060" s="41">
        <v>24030440</v>
      </c>
      <c r="D2060" s="41" t="s">
        <v>1359</v>
      </c>
      <c r="E2060" s="41" t="s">
        <v>18</v>
      </c>
      <c r="F2060" s="41" t="s">
        <v>1348</v>
      </c>
      <c r="G2060" s="41" t="s">
        <v>24</v>
      </c>
      <c r="H2060" s="42"/>
    </row>
    <row r="2061" spans="2:8" ht="18" customHeight="1" x14ac:dyDescent="0.25">
      <c r="B2061" s="40">
        <f>SUBTOTAL(3,C$4:C2061)</f>
        <v>1964</v>
      </c>
      <c r="C2061" s="41">
        <v>24021507</v>
      </c>
      <c r="D2061" s="41" t="s">
        <v>1357</v>
      </c>
      <c r="E2061" s="41" t="s">
        <v>18</v>
      </c>
      <c r="F2061" s="41" t="s">
        <v>1348</v>
      </c>
      <c r="G2061" s="41" t="s">
        <v>24</v>
      </c>
      <c r="H2061" s="42"/>
    </row>
    <row r="2062" spans="2:8" ht="18" customHeight="1" x14ac:dyDescent="0.25">
      <c r="B2062" s="40">
        <f>SUBTOTAL(3,C$4:C2062)</f>
        <v>1965</v>
      </c>
      <c r="C2062" s="41">
        <v>24027044</v>
      </c>
      <c r="D2062" s="41" t="s">
        <v>1353</v>
      </c>
      <c r="E2062" s="41" t="s">
        <v>18</v>
      </c>
      <c r="F2062" s="41" t="s">
        <v>1348</v>
      </c>
      <c r="G2062" s="41" t="s">
        <v>24</v>
      </c>
      <c r="H2062" s="42"/>
    </row>
    <row r="2063" spans="2:8" ht="18" customHeight="1" x14ac:dyDescent="0.25">
      <c r="B2063" s="40">
        <f>SUBTOTAL(3,C$4:C2063)</f>
        <v>1966</v>
      </c>
      <c r="C2063" s="41">
        <v>24028592</v>
      </c>
      <c r="D2063" s="41" t="s">
        <v>1351</v>
      </c>
      <c r="E2063" s="41" t="s">
        <v>18</v>
      </c>
      <c r="F2063" s="41" t="s">
        <v>1348</v>
      </c>
      <c r="G2063" s="41" t="s">
        <v>24</v>
      </c>
      <c r="H2063" s="42"/>
    </row>
    <row r="2064" spans="2:8" ht="18" customHeight="1" x14ac:dyDescent="0.25">
      <c r="B2064" s="40">
        <f>SUBTOTAL(3,C$4:C2064)</f>
        <v>1967</v>
      </c>
      <c r="C2064" s="41">
        <v>24026670</v>
      </c>
      <c r="D2064" s="41" t="s">
        <v>1347</v>
      </c>
      <c r="E2064" s="41" t="s">
        <v>18</v>
      </c>
      <c r="F2064" s="41" t="s">
        <v>1348</v>
      </c>
      <c r="G2064" s="41" t="s">
        <v>24</v>
      </c>
      <c r="H2064" s="42"/>
    </row>
    <row r="2065" spans="2:8" ht="18" customHeight="1" x14ac:dyDescent="0.25">
      <c r="B2065" s="40">
        <f>SUBTOTAL(3,C$4:C2065)</f>
        <v>1968</v>
      </c>
      <c r="C2065" s="41">
        <v>24036445</v>
      </c>
      <c r="D2065" s="41" t="s">
        <v>1350</v>
      </c>
      <c r="E2065" s="41" t="s">
        <v>18</v>
      </c>
      <c r="F2065" s="41" t="s">
        <v>1348</v>
      </c>
      <c r="G2065" s="41" t="s">
        <v>24</v>
      </c>
      <c r="H2065" s="42"/>
    </row>
    <row r="2066" spans="2:8" ht="18" customHeight="1" x14ac:dyDescent="0.25">
      <c r="B2066" s="40">
        <f>SUBTOTAL(3,C$4:C2066)</f>
        <v>1969</v>
      </c>
      <c r="C2066" s="41">
        <v>24030356</v>
      </c>
      <c r="D2066" s="41" t="s">
        <v>1352</v>
      </c>
      <c r="E2066" s="41" t="s">
        <v>18</v>
      </c>
      <c r="F2066" s="41" t="s">
        <v>1348</v>
      </c>
      <c r="G2066" s="41" t="s">
        <v>24</v>
      </c>
      <c r="H2066" s="42"/>
    </row>
    <row r="2067" spans="2:8" ht="18" customHeight="1" x14ac:dyDescent="0.25">
      <c r="B2067" s="40">
        <f>SUBTOTAL(3,C$4:C2067)</f>
        <v>1970</v>
      </c>
      <c r="C2067" s="41">
        <v>24023539</v>
      </c>
      <c r="D2067" s="41" t="s">
        <v>1355</v>
      </c>
      <c r="E2067" s="41" t="s">
        <v>18</v>
      </c>
      <c r="F2067" s="41" t="s">
        <v>1348</v>
      </c>
      <c r="G2067" s="41" t="s">
        <v>24</v>
      </c>
      <c r="H2067" s="42"/>
    </row>
    <row r="2068" spans="2:8" ht="18" customHeight="1" x14ac:dyDescent="0.25">
      <c r="B2068" s="40">
        <f>SUBTOTAL(3,C$4:C2068)</f>
        <v>1971</v>
      </c>
      <c r="C2068" s="41">
        <v>24026909</v>
      </c>
      <c r="D2068" s="41" t="s">
        <v>1356</v>
      </c>
      <c r="E2068" s="41" t="s">
        <v>18</v>
      </c>
      <c r="F2068" s="41" t="s">
        <v>1348</v>
      </c>
      <c r="G2068" s="41" t="s">
        <v>24</v>
      </c>
      <c r="H2068" s="42"/>
    </row>
    <row r="2069" spans="2:8" ht="18" customHeight="1" x14ac:dyDescent="0.25">
      <c r="B2069" s="40">
        <f>SUBTOTAL(3,C$4:C2069)</f>
        <v>1972</v>
      </c>
      <c r="C2069" s="41">
        <v>24032795</v>
      </c>
      <c r="D2069" s="41" t="s">
        <v>1358</v>
      </c>
      <c r="E2069" s="41" t="s">
        <v>18</v>
      </c>
      <c r="F2069" s="41" t="s">
        <v>1348</v>
      </c>
      <c r="G2069" s="41" t="s">
        <v>24</v>
      </c>
      <c r="H2069" s="42"/>
    </row>
    <row r="2070" spans="2:8" ht="18" customHeight="1" x14ac:dyDescent="0.25">
      <c r="B2070" s="40">
        <f>SUBTOTAL(3,C$4:C2070)</f>
        <v>1973</v>
      </c>
      <c r="C2070" s="41">
        <v>24029113</v>
      </c>
      <c r="D2070" s="41" t="s">
        <v>1360</v>
      </c>
      <c r="E2070" s="41" t="s">
        <v>18</v>
      </c>
      <c r="F2070" s="41" t="s">
        <v>1361</v>
      </c>
      <c r="G2070" s="41" t="s">
        <v>24</v>
      </c>
      <c r="H2070" s="42"/>
    </row>
    <row r="2071" spans="2:8" ht="18" customHeight="1" x14ac:dyDescent="0.25">
      <c r="B2071" s="40">
        <f>SUBTOTAL(3,C$4:C2071)</f>
        <v>1974</v>
      </c>
      <c r="C2071" s="41">
        <v>24020118</v>
      </c>
      <c r="D2071" s="41" t="s">
        <v>1363</v>
      </c>
      <c r="E2071" s="41" t="s">
        <v>18</v>
      </c>
      <c r="F2071" s="41" t="s">
        <v>1361</v>
      </c>
      <c r="G2071" s="41" t="s">
        <v>24</v>
      </c>
      <c r="H2071" s="42"/>
    </row>
    <row r="2072" spans="2:8" ht="18" customHeight="1" x14ac:dyDescent="0.25">
      <c r="B2072" s="40">
        <f>SUBTOTAL(3,C$4:C2072)</f>
        <v>1975</v>
      </c>
      <c r="C2072" s="41">
        <v>24040103</v>
      </c>
      <c r="D2072" s="41" t="s">
        <v>1362</v>
      </c>
      <c r="E2072" s="41" t="s">
        <v>18</v>
      </c>
      <c r="F2072" s="41" t="s">
        <v>1361</v>
      </c>
      <c r="G2072" s="41" t="s">
        <v>24</v>
      </c>
      <c r="H2072" s="42"/>
    </row>
    <row r="2073" spans="2:8" ht="18" customHeight="1" x14ac:dyDescent="0.25">
      <c r="B2073" s="40">
        <f>SUBTOTAL(3,C$4:C2073)</f>
        <v>1976</v>
      </c>
      <c r="C2073" s="41">
        <v>24019911</v>
      </c>
      <c r="D2073" s="41" t="s">
        <v>1366</v>
      </c>
      <c r="E2073" s="41" t="s">
        <v>18</v>
      </c>
      <c r="F2073" s="41" t="s">
        <v>1365</v>
      </c>
      <c r="G2073" s="41" t="s">
        <v>24</v>
      </c>
      <c r="H2073" s="42"/>
    </row>
    <row r="2074" spans="2:8" ht="18" customHeight="1" x14ac:dyDescent="0.25">
      <c r="B2074" s="40">
        <f>SUBTOTAL(3,C$4:C2074)</f>
        <v>1977</v>
      </c>
      <c r="C2074" s="41">
        <v>24022673</v>
      </c>
      <c r="D2074" s="41" t="s">
        <v>1364</v>
      </c>
      <c r="E2074" s="41" t="s">
        <v>18</v>
      </c>
      <c r="F2074" s="41" t="s">
        <v>1365</v>
      </c>
      <c r="G2074" s="41" t="s">
        <v>24</v>
      </c>
      <c r="H2074" s="42"/>
    </row>
    <row r="2075" spans="2:8" ht="18" customHeight="1" x14ac:dyDescent="0.25">
      <c r="B2075" s="40">
        <f>SUBTOTAL(3,C$4:C2075)</f>
        <v>1978</v>
      </c>
      <c r="C2075" s="41">
        <v>24019151</v>
      </c>
      <c r="D2075" s="41" t="s">
        <v>1367</v>
      </c>
      <c r="E2075" s="41" t="s">
        <v>18</v>
      </c>
      <c r="F2075" s="41" t="s">
        <v>1365</v>
      </c>
      <c r="G2075" s="41" t="s">
        <v>24</v>
      </c>
      <c r="H2075" s="42"/>
    </row>
    <row r="2076" spans="2:8" ht="18" customHeight="1" x14ac:dyDescent="0.25">
      <c r="B2076" s="40">
        <f>SUBTOTAL(3,C$4:C2076)</f>
        <v>1979</v>
      </c>
      <c r="C2076" s="41">
        <v>24031960</v>
      </c>
      <c r="D2076" s="41" t="s">
        <v>1368</v>
      </c>
      <c r="E2076" s="41" t="s">
        <v>18</v>
      </c>
      <c r="F2076" s="41" t="s">
        <v>1365</v>
      </c>
      <c r="G2076" s="41" t="s">
        <v>24</v>
      </c>
      <c r="H2076" s="42"/>
    </row>
    <row r="2077" spans="2:8" ht="18" customHeight="1" x14ac:dyDescent="0.25">
      <c r="B2077" s="40">
        <f>SUBTOTAL(3,C$4:C2077)</f>
        <v>1980</v>
      </c>
      <c r="C2077" s="41">
        <v>24021163</v>
      </c>
      <c r="D2077" s="41" t="s">
        <v>1369</v>
      </c>
      <c r="E2077" s="41" t="s">
        <v>18</v>
      </c>
      <c r="F2077" s="41" t="s">
        <v>1370</v>
      </c>
      <c r="G2077" s="41" t="s">
        <v>24</v>
      </c>
      <c r="H2077" s="42"/>
    </row>
    <row r="2078" spans="2:8" ht="18" customHeight="1" x14ac:dyDescent="0.25">
      <c r="B2078" s="40">
        <f>SUBTOTAL(3,C$4:C2078)</f>
        <v>1981</v>
      </c>
      <c r="C2078" s="41">
        <v>24027031</v>
      </c>
      <c r="D2078" s="41" t="s">
        <v>1375</v>
      </c>
      <c r="E2078" s="41" t="s">
        <v>18</v>
      </c>
      <c r="F2078" s="41" t="s">
        <v>1372</v>
      </c>
      <c r="G2078" s="41" t="s">
        <v>24</v>
      </c>
      <c r="H2078" s="42"/>
    </row>
    <row r="2079" spans="2:8" ht="18" customHeight="1" x14ac:dyDescent="0.25">
      <c r="B2079" s="40">
        <f>SUBTOTAL(3,C$4:C2079)</f>
        <v>1982</v>
      </c>
      <c r="C2079" s="41">
        <v>24036775</v>
      </c>
      <c r="D2079" s="41" t="s">
        <v>1384</v>
      </c>
      <c r="E2079" s="41" t="s">
        <v>18</v>
      </c>
      <c r="F2079" s="41" t="s">
        <v>1372</v>
      </c>
      <c r="G2079" s="41" t="s">
        <v>24</v>
      </c>
      <c r="H2079" s="42"/>
    </row>
    <row r="2080" spans="2:8" ht="18" customHeight="1" x14ac:dyDescent="0.25">
      <c r="B2080" s="40">
        <f>SUBTOTAL(3,C$4:C2080)</f>
        <v>1983</v>
      </c>
      <c r="C2080" s="41">
        <v>24274251</v>
      </c>
      <c r="D2080" s="41" t="s">
        <v>1380</v>
      </c>
      <c r="E2080" s="41" t="s">
        <v>18</v>
      </c>
      <c r="F2080" s="41" t="s">
        <v>1372</v>
      </c>
      <c r="G2080" s="41" t="s">
        <v>24</v>
      </c>
      <c r="H2080" s="42"/>
    </row>
    <row r="2081" spans="2:8" ht="18" customHeight="1" x14ac:dyDescent="0.25">
      <c r="B2081" s="40">
        <f>SUBTOTAL(3,C$4:C2081)</f>
        <v>1984</v>
      </c>
      <c r="C2081" s="41">
        <v>24031727</v>
      </c>
      <c r="D2081" s="41" t="s">
        <v>1371</v>
      </c>
      <c r="E2081" s="41" t="s">
        <v>18</v>
      </c>
      <c r="F2081" s="41" t="s">
        <v>1372</v>
      </c>
      <c r="G2081" s="41" t="s">
        <v>24</v>
      </c>
      <c r="H2081" s="42"/>
    </row>
    <row r="2082" spans="2:8" ht="18" customHeight="1" x14ac:dyDescent="0.25">
      <c r="B2082" s="40">
        <f>SUBTOTAL(3,C$4:C2082)</f>
        <v>1985</v>
      </c>
      <c r="C2082" s="41">
        <v>24030634</v>
      </c>
      <c r="D2082" s="41" t="s">
        <v>1379</v>
      </c>
      <c r="E2082" s="41" t="s">
        <v>18</v>
      </c>
      <c r="F2082" s="41" t="s">
        <v>1372</v>
      </c>
      <c r="G2082" s="41" t="s">
        <v>24</v>
      </c>
      <c r="H2082" s="42"/>
    </row>
    <row r="2083" spans="2:8" ht="18" customHeight="1" x14ac:dyDescent="0.25">
      <c r="B2083" s="40">
        <f>SUBTOTAL(3,C$4:C2083)</f>
        <v>1986</v>
      </c>
      <c r="C2083" s="41">
        <v>24034105</v>
      </c>
      <c r="D2083" s="41" t="s">
        <v>1373</v>
      </c>
      <c r="E2083" s="41" t="s">
        <v>18</v>
      </c>
      <c r="F2083" s="41" t="s">
        <v>1372</v>
      </c>
      <c r="G2083" s="41" t="s">
        <v>24</v>
      </c>
      <c r="H2083" s="42"/>
    </row>
    <row r="2084" spans="2:8" ht="18" customHeight="1" x14ac:dyDescent="0.25">
      <c r="B2084" s="40">
        <f>SUBTOTAL(3,C$4:C2084)</f>
        <v>1987</v>
      </c>
      <c r="C2084" s="41">
        <v>24237408</v>
      </c>
      <c r="D2084" s="41" t="s">
        <v>1378</v>
      </c>
      <c r="E2084" s="41" t="s">
        <v>18</v>
      </c>
      <c r="F2084" s="41" t="s">
        <v>1372</v>
      </c>
      <c r="G2084" s="41" t="s">
        <v>24</v>
      </c>
      <c r="H2084" s="42"/>
    </row>
    <row r="2085" spans="2:8" ht="18" customHeight="1" x14ac:dyDescent="0.25">
      <c r="B2085" s="40">
        <f>SUBTOTAL(3,C$4:C2085)</f>
        <v>1988</v>
      </c>
      <c r="C2085" s="41">
        <v>24035598</v>
      </c>
      <c r="D2085" s="41" t="s">
        <v>1381</v>
      </c>
      <c r="E2085" s="41" t="s">
        <v>18</v>
      </c>
      <c r="F2085" s="41" t="s">
        <v>1372</v>
      </c>
      <c r="G2085" s="41" t="s">
        <v>24</v>
      </c>
      <c r="H2085" s="42"/>
    </row>
    <row r="2086" spans="2:8" ht="18" customHeight="1" x14ac:dyDescent="0.25">
      <c r="B2086" s="40">
        <f>SUBTOTAL(3,C$4:C2086)</f>
        <v>1989</v>
      </c>
      <c r="C2086" s="41">
        <v>24021396</v>
      </c>
      <c r="D2086" s="41" t="s">
        <v>1377</v>
      </c>
      <c r="E2086" s="41" t="s">
        <v>18</v>
      </c>
      <c r="F2086" s="41" t="s">
        <v>1372</v>
      </c>
      <c r="G2086" s="41" t="s">
        <v>24</v>
      </c>
      <c r="H2086" s="42"/>
    </row>
    <row r="2087" spans="2:8" ht="18" customHeight="1" x14ac:dyDescent="0.25">
      <c r="B2087" s="40">
        <f>SUBTOTAL(3,C$4:C2087)</f>
        <v>1990</v>
      </c>
      <c r="C2087" s="41">
        <v>24027922</v>
      </c>
      <c r="D2087" s="41" t="s">
        <v>1376</v>
      </c>
      <c r="E2087" s="41" t="s">
        <v>18</v>
      </c>
      <c r="F2087" s="41" t="s">
        <v>1372</v>
      </c>
      <c r="G2087" s="41" t="s">
        <v>24</v>
      </c>
      <c r="H2087" s="42"/>
    </row>
    <row r="2088" spans="2:8" ht="18" customHeight="1" x14ac:dyDescent="0.25">
      <c r="B2088" s="40">
        <f>SUBTOTAL(3,C$4:C2088)</f>
        <v>1991</v>
      </c>
      <c r="C2088" s="41">
        <v>24220109</v>
      </c>
      <c r="D2088" s="41" t="s">
        <v>1382</v>
      </c>
      <c r="E2088" s="41" t="s">
        <v>18</v>
      </c>
      <c r="F2088" s="41" t="s">
        <v>1372</v>
      </c>
      <c r="G2088" s="41" t="s">
        <v>24</v>
      </c>
      <c r="H2088" s="42" t="s">
        <v>1383</v>
      </c>
    </row>
    <row r="2089" spans="2:8" ht="18" customHeight="1" x14ac:dyDescent="0.25">
      <c r="B2089" s="40">
        <f>SUBTOTAL(3,C$4:C2089)</f>
        <v>1992</v>
      </c>
      <c r="C2089" s="41">
        <v>24033155</v>
      </c>
      <c r="D2089" s="41" t="s">
        <v>1374</v>
      </c>
      <c r="E2089" s="41" t="s">
        <v>18</v>
      </c>
      <c r="F2089" s="41" t="s">
        <v>1372</v>
      </c>
      <c r="G2089" s="41" t="s">
        <v>24</v>
      </c>
      <c r="H2089" s="42"/>
    </row>
    <row r="2090" spans="2:8" ht="18" customHeight="1" x14ac:dyDescent="0.25">
      <c r="B2090" s="40">
        <f>SUBTOTAL(3,C$4:C2090)</f>
        <v>1993</v>
      </c>
      <c r="C2090" s="41">
        <v>24035044</v>
      </c>
      <c r="D2090" s="41" t="s">
        <v>1385</v>
      </c>
      <c r="E2090" s="41" t="s">
        <v>18</v>
      </c>
      <c r="F2090" s="41" t="s">
        <v>1386</v>
      </c>
      <c r="G2090" s="41" t="s">
        <v>24</v>
      </c>
      <c r="H2090" s="42" t="s">
        <v>1387</v>
      </c>
    </row>
    <row r="2091" spans="2:8" ht="18" customHeight="1" x14ac:dyDescent="0.25">
      <c r="B2091" s="40">
        <f>SUBTOTAL(3,C$4:C2091)</f>
        <v>1994</v>
      </c>
      <c r="C2091" s="41">
        <v>24021629</v>
      </c>
      <c r="D2091" s="41" t="s">
        <v>1390</v>
      </c>
      <c r="E2091" s="41" t="s">
        <v>18</v>
      </c>
      <c r="F2091" s="41" t="s">
        <v>1389</v>
      </c>
      <c r="G2091" s="41" t="s">
        <v>24</v>
      </c>
      <c r="H2091" s="42"/>
    </row>
    <row r="2092" spans="2:8" ht="18" customHeight="1" x14ac:dyDescent="0.25">
      <c r="B2092" s="40">
        <f>SUBTOTAL(3,C$4:C2092)</f>
        <v>1995</v>
      </c>
      <c r="C2092" s="41">
        <v>24033056</v>
      </c>
      <c r="D2092" s="41" t="s">
        <v>1392</v>
      </c>
      <c r="E2092" s="41" t="s">
        <v>18</v>
      </c>
      <c r="F2092" s="41" t="s">
        <v>1389</v>
      </c>
      <c r="G2092" s="41" t="s">
        <v>24</v>
      </c>
      <c r="H2092" s="42"/>
    </row>
    <row r="2093" spans="2:8" ht="18" customHeight="1" x14ac:dyDescent="0.25">
      <c r="B2093" s="40">
        <f>SUBTOTAL(3,C$4:C2093)</f>
        <v>1996</v>
      </c>
      <c r="C2093" s="41">
        <v>24122303</v>
      </c>
      <c r="D2093" s="41" t="s">
        <v>1388</v>
      </c>
      <c r="E2093" s="41" t="s">
        <v>18</v>
      </c>
      <c r="F2093" s="41" t="s">
        <v>1389</v>
      </c>
      <c r="G2093" s="41" t="s">
        <v>24</v>
      </c>
      <c r="H2093" s="42"/>
    </row>
    <row r="2094" spans="2:8" ht="18" customHeight="1" x14ac:dyDescent="0.25">
      <c r="B2094" s="40">
        <f>SUBTOTAL(3,C$4:C2094)</f>
        <v>1997</v>
      </c>
      <c r="C2094" s="41">
        <v>24024476</v>
      </c>
      <c r="D2094" s="41" t="s">
        <v>1393</v>
      </c>
      <c r="E2094" s="41" t="s">
        <v>18</v>
      </c>
      <c r="F2094" s="41" t="s">
        <v>1389</v>
      </c>
      <c r="G2094" s="41" t="s">
        <v>24</v>
      </c>
      <c r="H2094" s="42"/>
    </row>
    <row r="2095" spans="2:8" ht="18" customHeight="1" x14ac:dyDescent="0.25">
      <c r="B2095" s="40">
        <f>SUBTOTAL(3,C$4:C2095)</f>
        <v>1998</v>
      </c>
      <c r="C2095" s="41">
        <v>24029464</v>
      </c>
      <c r="D2095" s="41" t="s">
        <v>1391</v>
      </c>
      <c r="E2095" s="41" t="s">
        <v>18</v>
      </c>
      <c r="F2095" s="41" t="s">
        <v>1389</v>
      </c>
      <c r="G2095" s="41" t="s">
        <v>24</v>
      </c>
      <c r="H2095" s="42"/>
    </row>
    <row r="2096" spans="2:8" ht="18" customHeight="1" x14ac:dyDescent="0.25">
      <c r="B2096" s="40">
        <f>SUBTOTAL(3,C$4:C2096)</f>
        <v>1999</v>
      </c>
      <c r="C2096" s="41">
        <v>24028884</v>
      </c>
      <c r="D2096" s="41" t="s">
        <v>1394</v>
      </c>
      <c r="E2096" s="41" t="s">
        <v>18</v>
      </c>
      <c r="F2096" s="41" t="s">
        <v>1389</v>
      </c>
      <c r="G2096" s="41" t="s">
        <v>24</v>
      </c>
      <c r="H2096" s="42"/>
    </row>
    <row r="2097" spans="2:8" ht="18" customHeight="1" x14ac:dyDescent="0.25">
      <c r="B2097" s="40">
        <f>SUBTOTAL(3,C$4:C2097)</f>
        <v>2000</v>
      </c>
      <c r="C2097" s="41">
        <v>24019102</v>
      </c>
      <c r="D2097" s="41" t="s">
        <v>1398</v>
      </c>
      <c r="E2097" s="41" t="s">
        <v>18</v>
      </c>
      <c r="F2097" s="41" t="s">
        <v>1396</v>
      </c>
      <c r="G2097" s="41" t="s">
        <v>24</v>
      </c>
      <c r="H2097" s="42"/>
    </row>
    <row r="2098" spans="2:8" ht="18" customHeight="1" x14ac:dyDescent="0.25">
      <c r="B2098" s="40">
        <f>SUBTOTAL(3,C$4:C2098)</f>
        <v>2001</v>
      </c>
      <c r="C2098" s="41">
        <v>24033229</v>
      </c>
      <c r="D2098" s="41" t="s">
        <v>1399</v>
      </c>
      <c r="E2098" s="41" t="s">
        <v>18</v>
      </c>
      <c r="F2098" s="41" t="s">
        <v>1396</v>
      </c>
      <c r="G2098" s="41" t="s">
        <v>24</v>
      </c>
      <c r="H2098" s="42"/>
    </row>
    <row r="2099" spans="2:8" ht="18" customHeight="1" x14ac:dyDescent="0.25">
      <c r="B2099" s="40">
        <f>SUBTOTAL(3,C$4:C2099)</f>
        <v>2002</v>
      </c>
      <c r="C2099" s="41">
        <v>24022849</v>
      </c>
      <c r="D2099" s="41" t="s">
        <v>1400</v>
      </c>
      <c r="E2099" s="41" t="s">
        <v>18</v>
      </c>
      <c r="F2099" s="41" t="s">
        <v>1396</v>
      </c>
      <c r="G2099" s="41" t="s">
        <v>24</v>
      </c>
      <c r="H2099" s="42"/>
    </row>
    <row r="2100" spans="2:8" ht="18" customHeight="1" x14ac:dyDescent="0.25">
      <c r="B2100" s="40">
        <f>SUBTOTAL(3,C$4:C2100)</f>
        <v>2003</v>
      </c>
      <c r="C2100" s="41">
        <v>24022616</v>
      </c>
      <c r="D2100" s="41" t="s">
        <v>1401</v>
      </c>
      <c r="E2100" s="41" t="s">
        <v>18</v>
      </c>
      <c r="F2100" s="41" t="s">
        <v>1396</v>
      </c>
      <c r="G2100" s="41" t="s">
        <v>24</v>
      </c>
      <c r="H2100" s="42"/>
    </row>
    <row r="2101" spans="2:8" ht="18" customHeight="1" x14ac:dyDescent="0.25">
      <c r="B2101" s="40">
        <f>SUBTOTAL(3,C$4:C2101)</f>
        <v>2004</v>
      </c>
      <c r="C2101" s="41">
        <v>24036339</v>
      </c>
      <c r="D2101" s="41" t="s">
        <v>1395</v>
      </c>
      <c r="E2101" s="41" t="s">
        <v>18</v>
      </c>
      <c r="F2101" s="41" t="s">
        <v>1396</v>
      </c>
      <c r="G2101" s="41" t="s">
        <v>24</v>
      </c>
      <c r="H2101" s="42" t="s">
        <v>1397</v>
      </c>
    </row>
    <row r="2102" spans="2:8" ht="18" customHeight="1" x14ac:dyDescent="0.25">
      <c r="B2102" s="40">
        <f>SUBTOTAL(3,C$4:C2102)</f>
        <v>2005</v>
      </c>
      <c r="C2102" s="41">
        <v>24021068</v>
      </c>
      <c r="D2102" s="41" t="s">
        <v>1402</v>
      </c>
      <c r="E2102" s="41" t="s">
        <v>18</v>
      </c>
      <c r="F2102" s="41" t="s">
        <v>1403</v>
      </c>
      <c r="G2102" s="41" t="s">
        <v>24</v>
      </c>
      <c r="H2102" s="42"/>
    </row>
    <row r="2103" spans="2:8" ht="18" customHeight="1" x14ac:dyDescent="0.25">
      <c r="B2103" s="40">
        <f>SUBTOTAL(3,C$4:C2103)</f>
        <v>2006</v>
      </c>
      <c r="C2103" s="41">
        <v>24019763</v>
      </c>
      <c r="D2103" s="41" t="s">
        <v>1406</v>
      </c>
      <c r="E2103" s="41" t="s">
        <v>18</v>
      </c>
      <c r="F2103" s="41" t="s">
        <v>1405</v>
      </c>
      <c r="G2103" s="41" t="s">
        <v>24</v>
      </c>
      <c r="H2103" s="42"/>
    </row>
    <row r="2104" spans="2:8" ht="18" customHeight="1" x14ac:dyDescent="0.25">
      <c r="B2104" s="40">
        <f>SUBTOTAL(3,C$4:C2104)</f>
        <v>2007</v>
      </c>
      <c r="C2104" s="41">
        <v>24021480</v>
      </c>
      <c r="D2104" s="41" t="s">
        <v>1404</v>
      </c>
      <c r="E2104" s="41" t="s">
        <v>18</v>
      </c>
      <c r="F2104" s="41" t="s">
        <v>1405</v>
      </c>
      <c r="G2104" s="41" t="s">
        <v>24</v>
      </c>
      <c r="H2104" s="42"/>
    </row>
    <row r="2105" spans="2:8" ht="18" customHeight="1" x14ac:dyDescent="0.25">
      <c r="B2105" s="40">
        <f>SUBTOTAL(3,C$4:C2105)</f>
        <v>2008</v>
      </c>
      <c r="C2105" s="41">
        <v>24216923</v>
      </c>
      <c r="D2105" s="41" t="s">
        <v>1410</v>
      </c>
      <c r="E2105" s="41" t="s">
        <v>18</v>
      </c>
      <c r="F2105" s="41" t="s">
        <v>1408</v>
      </c>
      <c r="G2105" s="41" t="s">
        <v>24</v>
      </c>
      <c r="H2105" s="42"/>
    </row>
    <row r="2106" spans="2:8" ht="18" customHeight="1" x14ac:dyDescent="0.25">
      <c r="B2106" s="40">
        <f>SUBTOTAL(3,C$4:C2106)</f>
        <v>2009</v>
      </c>
      <c r="C2106" s="41">
        <v>24232093</v>
      </c>
      <c r="D2106" s="41" t="s">
        <v>1407</v>
      </c>
      <c r="E2106" s="41" t="s">
        <v>18</v>
      </c>
      <c r="F2106" s="41" t="s">
        <v>1408</v>
      </c>
      <c r="G2106" s="41" t="s">
        <v>24</v>
      </c>
      <c r="H2106" s="42" t="s">
        <v>1409</v>
      </c>
    </row>
    <row r="2107" spans="2:8" ht="18" customHeight="1" x14ac:dyDescent="0.25">
      <c r="B2107" s="40">
        <f>SUBTOTAL(3,C$4:C2107)</f>
        <v>2010</v>
      </c>
      <c r="C2107" s="41">
        <v>24027182</v>
      </c>
      <c r="D2107" s="41" t="s">
        <v>1411</v>
      </c>
      <c r="E2107" s="41" t="s">
        <v>18</v>
      </c>
      <c r="F2107" s="41" t="s">
        <v>1412</v>
      </c>
      <c r="G2107" s="41" t="s">
        <v>24</v>
      </c>
      <c r="H2107" s="42"/>
    </row>
    <row r="2108" spans="2:8" ht="18" customHeight="1" x14ac:dyDescent="0.25">
      <c r="B2108" s="40">
        <f>SUBTOTAL(3,C$4:C2108)</f>
        <v>2011</v>
      </c>
      <c r="C2108" s="41">
        <v>24019817</v>
      </c>
      <c r="D2108" s="41" t="s">
        <v>1419</v>
      </c>
      <c r="E2108" s="41" t="s">
        <v>18</v>
      </c>
      <c r="F2108" s="41" t="s">
        <v>37</v>
      </c>
      <c r="G2108" s="41" t="s">
        <v>24</v>
      </c>
      <c r="H2108" s="42"/>
    </row>
    <row r="2109" spans="2:8" ht="18" customHeight="1" x14ac:dyDescent="0.25">
      <c r="B2109" s="40">
        <f>SUBTOTAL(3,C$4:C2109)</f>
        <v>2012</v>
      </c>
      <c r="C2109" s="41">
        <v>24028198</v>
      </c>
      <c r="D2109" s="41" t="s">
        <v>1414</v>
      </c>
      <c r="E2109" s="41" t="s">
        <v>18</v>
      </c>
      <c r="F2109" s="41" t="s">
        <v>37</v>
      </c>
      <c r="G2109" s="41" t="s">
        <v>24</v>
      </c>
      <c r="H2109" s="42"/>
    </row>
    <row r="2110" spans="2:8" ht="18" customHeight="1" x14ac:dyDescent="0.25">
      <c r="B2110" s="40">
        <f>SUBTOTAL(3,C$4:C2110)</f>
        <v>2013</v>
      </c>
      <c r="C2110" s="41">
        <v>24019133</v>
      </c>
      <c r="D2110" s="41" t="s">
        <v>1417</v>
      </c>
      <c r="E2110" s="41" t="s">
        <v>18</v>
      </c>
      <c r="F2110" s="41" t="s">
        <v>37</v>
      </c>
      <c r="G2110" s="41" t="s">
        <v>24</v>
      </c>
      <c r="H2110" s="42"/>
    </row>
    <row r="2111" spans="2:8" ht="18" customHeight="1" x14ac:dyDescent="0.25">
      <c r="B2111" s="40">
        <f>SUBTOTAL(3,C$4:C2111)</f>
        <v>2014</v>
      </c>
      <c r="C2111" s="41">
        <v>24033158</v>
      </c>
      <c r="D2111" s="41" t="s">
        <v>1418</v>
      </c>
      <c r="E2111" s="41" t="s">
        <v>18</v>
      </c>
      <c r="F2111" s="41" t="s">
        <v>37</v>
      </c>
      <c r="G2111" s="41" t="s">
        <v>24</v>
      </c>
      <c r="H2111" s="42"/>
    </row>
    <row r="2112" spans="2:8" ht="18" customHeight="1" x14ac:dyDescent="0.25">
      <c r="B2112" s="40">
        <f>SUBTOTAL(3,C$4:C2112)</f>
        <v>2015</v>
      </c>
      <c r="C2112" s="41">
        <v>24024183</v>
      </c>
      <c r="D2112" s="41" t="s">
        <v>1416</v>
      </c>
      <c r="E2112" s="41" t="s">
        <v>18</v>
      </c>
      <c r="F2112" s="41" t="s">
        <v>37</v>
      </c>
      <c r="G2112" s="41" t="s">
        <v>24</v>
      </c>
      <c r="H2112" s="42"/>
    </row>
    <row r="2113" spans="2:8" ht="18" customHeight="1" x14ac:dyDescent="0.25">
      <c r="B2113" s="40">
        <f>SUBTOTAL(3,C$4:C2113)</f>
        <v>2016</v>
      </c>
      <c r="C2113" s="41">
        <v>24030911</v>
      </c>
      <c r="D2113" s="41" t="s">
        <v>1415</v>
      </c>
      <c r="E2113" s="41" t="s">
        <v>18</v>
      </c>
      <c r="F2113" s="41" t="s">
        <v>37</v>
      </c>
      <c r="G2113" s="41" t="s">
        <v>24</v>
      </c>
      <c r="H2113" s="42"/>
    </row>
    <row r="2114" spans="2:8" ht="18" customHeight="1" x14ac:dyDescent="0.25">
      <c r="B2114" s="40">
        <f>SUBTOTAL(3,C$4:C2114)</f>
        <v>2017</v>
      </c>
      <c r="C2114" s="41">
        <v>24028515</v>
      </c>
      <c r="D2114" s="41" t="s">
        <v>1420</v>
      </c>
      <c r="E2114" s="41" t="s">
        <v>18</v>
      </c>
      <c r="F2114" s="41" t="s">
        <v>37</v>
      </c>
      <c r="G2114" s="41" t="s">
        <v>24</v>
      </c>
      <c r="H2114" s="42"/>
    </row>
    <row r="2115" spans="2:8" ht="18" customHeight="1" x14ac:dyDescent="0.25">
      <c r="B2115" s="40">
        <f>SUBTOTAL(3,C$4:C2115)</f>
        <v>2018</v>
      </c>
      <c r="C2115" s="41">
        <v>24028582</v>
      </c>
      <c r="D2115" s="41" t="s">
        <v>1413</v>
      </c>
      <c r="E2115" s="41" t="s">
        <v>18</v>
      </c>
      <c r="F2115" s="41" t="s">
        <v>37</v>
      </c>
      <c r="G2115" s="41" t="s">
        <v>24</v>
      </c>
      <c r="H2115" s="42"/>
    </row>
    <row r="2116" spans="2:8" ht="18" customHeight="1" x14ac:dyDescent="0.25">
      <c r="B2116" s="40">
        <f>SUBTOTAL(3,C$4:C2116)</f>
        <v>2019</v>
      </c>
      <c r="C2116" s="41">
        <v>24035949</v>
      </c>
      <c r="D2116" s="41" t="s">
        <v>1421</v>
      </c>
      <c r="E2116" s="41" t="s">
        <v>18</v>
      </c>
      <c r="F2116" s="41" t="s">
        <v>1422</v>
      </c>
      <c r="G2116" s="41" t="s">
        <v>24</v>
      </c>
      <c r="H2116" s="42"/>
    </row>
    <row r="2117" spans="2:8" ht="18" customHeight="1" x14ac:dyDescent="0.25">
      <c r="B2117" s="40">
        <f>SUBTOTAL(3,C$4:C2117)</f>
        <v>2020</v>
      </c>
      <c r="C2117" s="41">
        <v>24122042</v>
      </c>
      <c r="D2117" s="41" t="s">
        <v>1425</v>
      </c>
      <c r="E2117" s="41" t="s">
        <v>18</v>
      </c>
      <c r="F2117" s="41" t="s">
        <v>1422</v>
      </c>
      <c r="G2117" s="41" t="s">
        <v>24</v>
      </c>
      <c r="H2117" s="42" t="s">
        <v>1426</v>
      </c>
    </row>
    <row r="2118" spans="2:8" ht="18" customHeight="1" x14ac:dyDescent="0.25">
      <c r="B2118" s="40">
        <f>SUBTOTAL(3,C$4:C2118)</f>
        <v>2021</v>
      </c>
      <c r="C2118" s="41">
        <v>24244633</v>
      </c>
      <c r="D2118" s="41" t="s">
        <v>1423</v>
      </c>
      <c r="E2118" s="41" t="s">
        <v>18</v>
      </c>
      <c r="F2118" s="41" t="s">
        <v>1422</v>
      </c>
      <c r="G2118" s="41" t="s">
        <v>24</v>
      </c>
      <c r="H2118" s="42" t="s">
        <v>1424</v>
      </c>
    </row>
    <row r="2119" spans="2:8" ht="18" customHeight="1" x14ac:dyDescent="0.25">
      <c r="B2119" s="40">
        <f>SUBTOTAL(3,C$4:C2119)</f>
        <v>2022</v>
      </c>
      <c r="C2119" s="41">
        <v>24030607</v>
      </c>
      <c r="D2119" s="41" t="s">
        <v>1429</v>
      </c>
      <c r="E2119" s="41" t="s">
        <v>18</v>
      </c>
      <c r="F2119" s="41" t="s">
        <v>1422</v>
      </c>
      <c r="G2119" s="41" t="s">
        <v>24</v>
      </c>
      <c r="H2119" s="42" t="s">
        <v>1430</v>
      </c>
    </row>
    <row r="2120" spans="2:8" ht="18" customHeight="1" x14ac:dyDescent="0.25">
      <c r="B2120" s="40">
        <f>SUBTOTAL(3,C$4:C2120)</f>
        <v>2023</v>
      </c>
      <c r="C2120" s="41">
        <v>24034326</v>
      </c>
      <c r="D2120" s="41" t="s">
        <v>1427</v>
      </c>
      <c r="E2120" s="41" t="s">
        <v>18</v>
      </c>
      <c r="F2120" s="41" t="s">
        <v>1422</v>
      </c>
      <c r="G2120" s="41" t="s">
        <v>24</v>
      </c>
      <c r="H2120" s="42" t="s">
        <v>1428</v>
      </c>
    </row>
    <row r="2121" spans="2:8" ht="18" customHeight="1" x14ac:dyDescent="0.25">
      <c r="B2121" s="40">
        <f>SUBTOTAL(3,C$4:C2121)</f>
        <v>2024</v>
      </c>
      <c r="C2121" s="41">
        <v>24034742</v>
      </c>
      <c r="D2121" s="41" t="s">
        <v>2485</v>
      </c>
      <c r="E2121" s="41" t="s">
        <v>35</v>
      </c>
      <c r="F2121" s="41" t="s">
        <v>2486</v>
      </c>
      <c r="G2121" s="41" t="s">
        <v>24</v>
      </c>
      <c r="H2121" s="42"/>
    </row>
    <row r="2122" spans="2:8" ht="18" customHeight="1" x14ac:dyDescent="0.25">
      <c r="B2122" s="40">
        <f>SUBTOTAL(3,C$4:C2122)</f>
        <v>2025</v>
      </c>
      <c r="C2122" s="41">
        <v>24032668</v>
      </c>
      <c r="D2122" s="41" t="s">
        <v>2460</v>
      </c>
      <c r="E2122" s="41" t="s">
        <v>35</v>
      </c>
      <c r="F2122" s="41" t="s">
        <v>2461</v>
      </c>
      <c r="G2122" s="41" t="s">
        <v>26</v>
      </c>
      <c r="H2122" s="42"/>
    </row>
    <row r="2123" spans="2:8" ht="18" customHeight="1" x14ac:dyDescent="0.25">
      <c r="B2123" s="40">
        <f>SUBTOTAL(3,C$4:C2123)</f>
        <v>2026</v>
      </c>
      <c r="C2123" s="41">
        <v>24024983</v>
      </c>
      <c r="D2123" s="41" t="s">
        <v>1298</v>
      </c>
      <c r="E2123" s="41" t="s">
        <v>35</v>
      </c>
      <c r="F2123" s="41" t="s">
        <v>2461</v>
      </c>
      <c r="G2123" s="41" t="s">
        <v>26</v>
      </c>
      <c r="H2123" s="42"/>
    </row>
    <row r="2124" spans="2:8" ht="18" customHeight="1" x14ac:dyDescent="0.25">
      <c r="B2124" s="40">
        <f>SUBTOTAL(3,C$4:C2124)</f>
        <v>2027</v>
      </c>
      <c r="C2124" s="41">
        <v>24029136</v>
      </c>
      <c r="D2124" s="41" t="s">
        <v>2472</v>
      </c>
      <c r="E2124" s="41" t="s">
        <v>35</v>
      </c>
      <c r="F2124" s="41" t="s">
        <v>2461</v>
      </c>
      <c r="G2124" s="41" t="s">
        <v>26</v>
      </c>
      <c r="H2124" s="42"/>
    </row>
    <row r="2125" spans="2:8" ht="18" customHeight="1" x14ac:dyDescent="0.25">
      <c r="B2125" s="40">
        <f>SUBTOTAL(3,C$4:C2125)</f>
        <v>2028</v>
      </c>
      <c r="C2125" s="41">
        <v>24019860</v>
      </c>
      <c r="D2125" s="41" t="s">
        <v>2473</v>
      </c>
      <c r="E2125" s="41" t="s">
        <v>35</v>
      </c>
      <c r="F2125" s="41" t="s">
        <v>2461</v>
      </c>
      <c r="G2125" s="41" t="s">
        <v>26</v>
      </c>
      <c r="H2125" s="42"/>
    </row>
    <row r="2126" spans="2:8" ht="18" customHeight="1" x14ac:dyDescent="0.25">
      <c r="B2126" s="40">
        <f>SUBTOTAL(3,C$4:C2126)</f>
        <v>2029</v>
      </c>
      <c r="C2126" s="41">
        <v>24030165</v>
      </c>
      <c r="D2126" s="41" t="s">
        <v>2475</v>
      </c>
      <c r="E2126" s="41" t="s">
        <v>35</v>
      </c>
      <c r="F2126" s="41" t="s">
        <v>2461</v>
      </c>
      <c r="G2126" s="41" t="s">
        <v>26</v>
      </c>
      <c r="H2126" s="42"/>
    </row>
    <row r="2127" spans="2:8" ht="18" customHeight="1" x14ac:dyDescent="0.25">
      <c r="B2127" s="40">
        <f>SUBTOTAL(3,C$4:C2127)</f>
        <v>2030</v>
      </c>
      <c r="C2127" s="41">
        <v>24023260</v>
      </c>
      <c r="D2127" s="41" t="s">
        <v>2488</v>
      </c>
      <c r="E2127" s="41" t="s">
        <v>35</v>
      </c>
      <c r="F2127" s="41" t="s">
        <v>2461</v>
      </c>
      <c r="G2127" s="41" t="s">
        <v>26</v>
      </c>
      <c r="H2127" s="42"/>
    </row>
    <row r="2128" spans="2:8" ht="18" customHeight="1" x14ac:dyDescent="0.25">
      <c r="B2128" s="40">
        <f>SUBTOTAL(3,C$4:C2128)</f>
        <v>2031</v>
      </c>
      <c r="C2128" s="41">
        <v>24020176</v>
      </c>
      <c r="D2128" s="41" t="s">
        <v>2489</v>
      </c>
      <c r="E2128" s="41" t="s">
        <v>35</v>
      </c>
      <c r="F2128" s="41" t="s">
        <v>2461</v>
      </c>
      <c r="G2128" s="41" t="s">
        <v>26</v>
      </c>
      <c r="H2128" s="42"/>
    </row>
    <row r="2129" spans="2:8" ht="18" customHeight="1" x14ac:dyDescent="0.25">
      <c r="B2129" s="40">
        <f>SUBTOTAL(3,C$4:C2129)</f>
        <v>2032</v>
      </c>
      <c r="C2129" s="41">
        <v>24029154</v>
      </c>
      <c r="D2129" s="41" t="s">
        <v>2496</v>
      </c>
      <c r="E2129" s="41" t="s">
        <v>35</v>
      </c>
      <c r="F2129" s="41" t="s">
        <v>2461</v>
      </c>
      <c r="G2129" s="41" t="s">
        <v>24</v>
      </c>
      <c r="H2129" s="42"/>
    </row>
    <row r="2130" spans="2:8" ht="18" customHeight="1" x14ac:dyDescent="0.25">
      <c r="B2130" s="40">
        <f>SUBTOTAL(3,C$4:C2130)</f>
        <v>2033</v>
      </c>
      <c r="C2130" s="41">
        <v>24029847</v>
      </c>
      <c r="D2130" s="41" t="s">
        <v>2506</v>
      </c>
      <c r="E2130" s="41" t="s">
        <v>35</v>
      </c>
      <c r="F2130" s="41" t="s">
        <v>2461</v>
      </c>
      <c r="G2130" s="41" t="s">
        <v>26</v>
      </c>
      <c r="H2130" s="42"/>
    </row>
    <row r="2131" spans="2:8" ht="18" customHeight="1" x14ac:dyDescent="0.25">
      <c r="B2131" s="40">
        <f>SUBTOTAL(3,C$4:C2131)</f>
        <v>2034</v>
      </c>
      <c r="C2131" s="41">
        <v>24026063</v>
      </c>
      <c r="D2131" s="41" t="s">
        <v>2508</v>
      </c>
      <c r="E2131" s="41" t="s">
        <v>35</v>
      </c>
      <c r="F2131" s="41" t="s">
        <v>2461</v>
      </c>
      <c r="G2131" s="41" t="s">
        <v>26</v>
      </c>
      <c r="H2131" s="42"/>
    </row>
    <row r="2132" spans="2:8" ht="18" customHeight="1" x14ac:dyDescent="0.25">
      <c r="B2132" s="40">
        <f>SUBTOTAL(3,C$4:C2132)</f>
        <v>2035</v>
      </c>
      <c r="C2132" s="41">
        <v>24225842</v>
      </c>
      <c r="D2132" s="41" t="s">
        <v>2510</v>
      </c>
      <c r="E2132" s="41" t="s">
        <v>35</v>
      </c>
      <c r="F2132" s="41" t="s">
        <v>2461</v>
      </c>
      <c r="G2132" s="41" t="s">
        <v>26</v>
      </c>
      <c r="H2132" s="42"/>
    </row>
    <row r="2133" spans="2:8" ht="18" customHeight="1" x14ac:dyDescent="0.25">
      <c r="B2133" s="40">
        <f>SUBTOTAL(3,C$4:C2133)</f>
        <v>2036</v>
      </c>
      <c r="C2133" s="41">
        <v>24033103</v>
      </c>
      <c r="D2133" s="41" t="s">
        <v>2513</v>
      </c>
      <c r="E2133" s="41" t="s">
        <v>35</v>
      </c>
      <c r="F2133" s="41" t="s">
        <v>2461</v>
      </c>
      <c r="G2133" s="41" t="s">
        <v>26</v>
      </c>
      <c r="H2133" s="42"/>
    </row>
    <row r="2134" spans="2:8" ht="18" customHeight="1" x14ac:dyDescent="0.25">
      <c r="B2134" s="40">
        <f>SUBTOTAL(3,C$4:C2134)</f>
        <v>2037</v>
      </c>
      <c r="C2134" s="41">
        <v>24024351</v>
      </c>
      <c r="D2134" s="41" t="s">
        <v>2515</v>
      </c>
      <c r="E2134" s="41" t="s">
        <v>35</v>
      </c>
      <c r="F2134" s="41" t="s">
        <v>2461</v>
      </c>
      <c r="G2134" s="41" t="s">
        <v>24</v>
      </c>
      <c r="H2134" s="42"/>
    </row>
    <row r="2135" spans="2:8" ht="18" customHeight="1" x14ac:dyDescent="0.25">
      <c r="B2135" s="40">
        <f>SUBTOTAL(3,C$4:C2135)</f>
        <v>2038</v>
      </c>
      <c r="C2135" s="41">
        <v>24030248</v>
      </c>
      <c r="D2135" s="41" t="s">
        <v>2522</v>
      </c>
      <c r="E2135" s="41" t="s">
        <v>35</v>
      </c>
      <c r="F2135" s="41" t="s">
        <v>2461</v>
      </c>
      <c r="G2135" s="41" t="s">
        <v>26</v>
      </c>
      <c r="H2135" s="42"/>
    </row>
    <row r="2136" spans="2:8" ht="18" customHeight="1" x14ac:dyDescent="0.25">
      <c r="B2136" s="40">
        <f>SUBTOTAL(3,C$4:C2136)</f>
        <v>2039</v>
      </c>
      <c r="C2136" s="41">
        <v>24029575</v>
      </c>
      <c r="D2136" s="41" t="s">
        <v>2526</v>
      </c>
      <c r="E2136" s="41" t="s">
        <v>35</v>
      </c>
      <c r="F2136" s="41" t="s">
        <v>2461</v>
      </c>
      <c r="G2136" s="41" t="s">
        <v>26</v>
      </c>
      <c r="H2136" s="42"/>
    </row>
    <row r="2137" spans="2:8" ht="18" customHeight="1" x14ac:dyDescent="0.25">
      <c r="B2137" s="40">
        <f>SUBTOTAL(3,C$4:C2137)</f>
        <v>2040</v>
      </c>
      <c r="C2137" s="41">
        <v>24019727</v>
      </c>
      <c r="D2137" s="41" t="s">
        <v>2530</v>
      </c>
      <c r="E2137" s="41" t="s">
        <v>35</v>
      </c>
      <c r="F2137" s="41" t="s">
        <v>2461</v>
      </c>
      <c r="G2137" s="41" t="s">
        <v>26</v>
      </c>
      <c r="H2137" s="42"/>
    </row>
    <row r="2138" spans="2:8" ht="18" customHeight="1" x14ac:dyDescent="0.25">
      <c r="B2138" s="40">
        <f>SUBTOTAL(3,C$4:C2138)</f>
        <v>2041</v>
      </c>
      <c r="C2138" s="41">
        <v>24036926</v>
      </c>
      <c r="D2138" s="41" t="s">
        <v>2532</v>
      </c>
      <c r="E2138" s="41" t="s">
        <v>35</v>
      </c>
      <c r="F2138" s="41" t="s">
        <v>2461</v>
      </c>
      <c r="G2138" s="41" t="s">
        <v>26</v>
      </c>
      <c r="H2138" s="42"/>
    </row>
    <row r="2139" spans="2:8" ht="18" customHeight="1" x14ac:dyDescent="0.25">
      <c r="B2139" s="40">
        <f>SUBTOTAL(3,C$4:C2139)</f>
        <v>2042</v>
      </c>
      <c r="C2139" s="41">
        <v>24035631</v>
      </c>
      <c r="D2139" s="41" t="s">
        <v>2544</v>
      </c>
      <c r="E2139" s="41" t="s">
        <v>35</v>
      </c>
      <c r="F2139" s="41" t="s">
        <v>2461</v>
      </c>
      <c r="G2139" s="41" t="s">
        <v>24</v>
      </c>
      <c r="H2139" s="42"/>
    </row>
    <row r="2140" spans="2:8" ht="18" customHeight="1" x14ac:dyDescent="0.25">
      <c r="B2140" s="40">
        <f>SUBTOTAL(3,C$4:C2140)</f>
        <v>2043</v>
      </c>
      <c r="C2140" s="41">
        <v>24025644</v>
      </c>
      <c r="D2140" s="41" t="s">
        <v>2546</v>
      </c>
      <c r="E2140" s="41" t="s">
        <v>35</v>
      </c>
      <c r="F2140" s="41" t="s">
        <v>2461</v>
      </c>
      <c r="G2140" s="41" t="s">
        <v>26</v>
      </c>
      <c r="H2140" s="42"/>
    </row>
    <row r="2141" spans="2:8" ht="18" customHeight="1" x14ac:dyDescent="0.25">
      <c r="B2141" s="40">
        <f>SUBTOTAL(3,C$4:C2141)</f>
        <v>2044</v>
      </c>
      <c r="C2141" s="41">
        <v>24257066</v>
      </c>
      <c r="D2141" s="41" t="s">
        <v>2548</v>
      </c>
      <c r="E2141" s="41" t="s">
        <v>35</v>
      </c>
      <c r="F2141" s="41" t="s">
        <v>2461</v>
      </c>
      <c r="G2141" s="41" t="s">
        <v>26</v>
      </c>
      <c r="H2141" s="42"/>
    </row>
    <row r="2142" spans="2:8" ht="18" customHeight="1" x14ac:dyDescent="0.25">
      <c r="B2142" s="40">
        <f>SUBTOTAL(3,C$4:C2142)</f>
        <v>2045</v>
      </c>
      <c r="C2142" s="41">
        <v>24028863</v>
      </c>
      <c r="D2142" s="41" t="s">
        <v>2558</v>
      </c>
      <c r="E2142" s="41" t="s">
        <v>35</v>
      </c>
      <c r="F2142" s="41" t="s">
        <v>2461</v>
      </c>
      <c r="G2142" s="41" t="s">
        <v>26</v>
      </c>
      <c r="H2142" s="42"/>
    </row>
    <row r="2143" spans="2:8" ht="18" customHeight="1" x14ac:dyDescent="0.25">
      <c r="B2143" s="40">
        <f>SUBTOTAL(3,C$4:C2143)</f>
        <v>2046</v>
      </c>
      <c r="C2143" s="41">
        <v>24024619</v>
      </c>
      <c r="D2143" s="41" t="s">
        <v>2561</v>
      </c>
      <c r="E2143" s="41" t="s">
        <v>35</v>
      </c>
      <c r="F2143" s="41" t="s">
        <v>2461</v>
      </c>
      <c r="G2143" s="41" t="s">
        <v>26</v>
      </c>
      <c r="H2143" s="42"/>
    </row>
    <row r="2144" spans="2:8" ht="18" customHeight="1" x14ac:dyDescent="0.25">
      <c r="B2144" s="40">
        <f>SUBTOTAL(3,C$4:C2144)</f>
        <v>2047</v>
      </c>
      <c r="C2144" s="41">
        <v>24023917</v>
      </c>
      <c r="D2144" s="41" t="s">
        <v>2564</v>
      </c>
      <c r="E2144" s="41" t="s">
        <v>35</v>
      </c>
      <c r="F2144" s="41" t="s">
        <v>2461</v>
      </c>
      <c r="G2144" s="41" t="s">
        <v>26</v>
      </c>
      <c r="H2144" s="42"/>
    </row>
    <row r="2145" spans="2:8" ht="18" customHeight="1" x14ac:dyDescent="0.25">
      <c r="B2145" s="40">
        <f>SUBTOTAL(3,C$4:C2145)</f>
        <v>2048</v>
      </c>
      <c r="C2145" s="41">
        <v>24026358</v>
      </c>
      <c r="D2145" s="41" t="s">
        <v>2569</v>
      </c>
      <c r="E2145" s="41" t="s">
        <v>35</v>
      </c>
      <c r="F2145" s="41" t="s">
        <v>2461</v>
      </c>
      <c r="G2145" s="41" t="s">
        <v>26</v>
      </c>
      <c r="H2145" s="42"/>
    </row>
    <row r="2146" spans="2:8" ht="18" customHeight="1" x14ac:dyDescent="0.25">
      <c r="B2146" s="40">
        <f>SUBTOTAL(3,C$4:C2146)</f>
        <v>2049</v>
      </c>
      <c r="C2146" s="41">
        <v>24021883</v>
      </c>
      <c r="D2146" s="41" t="s">
        <v>2572</v>
      </c>
      <c r="E2146" s="41" t="s">
        <v>35</v>
      </c>
      <c r="F2146" s="41" t="s">
        <v>2461</v>
      </c>
      <c r="G2146" s="41" t="s">
        <v>26</v>
      </c>
      <c r="H2146" s="42"/>
    </row>
    <row r="2147" spans="2:8" ht="18" customHeight="1" x14ac:dyDescent="0.25">
      <c r="B2147" s="40">
        <f>SUBTOTAL(3,C$4:C2147)</f>
        <v>2050</v>
      </c>
      <c r="C2147" s="41">
        <v>24033081</v>
      </c>
      <c r="D2147" s="41" t="s">
        <v>2575</v>
      </c>
      <c r="E2147" s="41" t="s">
        <v>35</v>
      </c>
      <c r="F2147" s="41" t="s">
        <v>2461</v>
      </c>
      <c r="G2147" s="41" t="s">
        <v>26</v>
      </c>
      <c r="H2147" s="42"/>
    </row>
    <row r="2148" spans="2:8" ht="18" customHeight="1" x14ac:dyDescent="0.25">
      <c r="B2148" s="40">
        <f>SUBTOTAL(3,C$4:C2148)</f>
        <v>2051</v>
      </c>
      <c r="C2148" s="41">
        <v>24255837</v>
      </c>
      <c r="D2148" s="41" t="s">
        <v>2590</v>
      </c>
      <c r="E2148" s="41" t="s">
        <v>35</v>
      </c>
      <c r="F2148" s="41" t="s">
        <v>2461</v>
      </c>
      <c r="G2148" s="41" t="s">
        <v>26</v>
      </c>
      <c r="H2148" s="42"/>
    </row>
    <row r="2149" spans="2:8" ht="18" customHeight="1" x14ac:dyDescent="0.25">
      <c r="B2149" s="40">
        <f>SUBTOTAL(3,C$4:C2149)</f>
        <v>2052</v>
      </c>
      <c r="C2149" s="41">
        <v>24023814</v>
      </c>
      <c r="D2149" s="41" t="s">
        <v>2600</v>
      </c>
      <c r="E2149" s="41" t="s">
        <v>35</v>
      </c>
      <c r="F2149" s="41" t="s">
        <v>2461</v>
      </c>
      <c r="G2149" s="41" t="s">
        <v>26</v>
      </c>
      <c r="H2149" s="42"/>
    </row>
    <row r="2150" spans="2:8" ht="18" customHeight="1" x14ac:dyDescent="0.25">
      <c r="B2150" s="40">
        <f>SUBTOTAL(3,C$4:C2150)</f>
        <v>2053</v>
      </c>
      <c r="C2150" s="41">
        <v>24020790</v>
      </c>
      <c r="D2150" s="41" t="s">
        <v>2610</v>
      </c>
      <c r="E2150" s="41" t="s">
        <v>35</v>
      </c>
      <c r="F2150" s="41" t="s">
        <v>2461</v>
      </c>
      <c r="G2150" s="41" t="s">
        <v>26</v>
      </c>
      <c r="H2150" s="42"/>
    </row>
    <row r="2151" spans="2:8" ht="18" customHeight="1" x14ac:dyDescent="0.25">
      <c r="B2151" s="40">
        <f>SUBTOTAL(3,C$4:C2151)</f>
        <v>2054</v>
      </c>
      <c r="C2151" s="41">
        <v>24028837</v>
      </c>
      <c r="D2151" s="41" t="s">
        <v>2613</v>
      </c>
      <c r="E2151" s="41" t="s">
        <v>35</v>
      </c>
      <c r="F2151" s="41" t="s">
        <v>2461</v>
      </c>
      <c r="G2151" s="41" t="s">
        <v>26</v>
      </c>
      <c r="H2151" s="42"/>
    </row>
    <row r="2152" spans="2:8" ht="18" customHeight="1" x14ac:dyDescent="0.25">
      <c r="B2152" s="40">
        <f>SUBTOTAL(3,C$4:C2152)</f>
        <v>2055</v>
      </c>
      <c r="C2152" s="41">
        <v>24025578</v>
      </c>
      <c r="D2152" s="41" t="s">
        <v>2615</v>
      </c>
      <c r="E2152" s="41" t="s">
        <v>35</v>
      </c>
      <c r="F2152" s="41" t="s">
        <v>2461</v>
      </c>
      <c r="G2152" s="41" t="s">
        <v>26</v>
      </c>
      <c r="H2152" s="42"/>
    </row>
    <row r="2153" spans="2:8" ht="18" customHeight="1" x14ac:dyDescent="0.25">
      <c r="B2153" s="40">
        <f>SUBTOTAL(3,C$4:C2153)</f>
        <v>2056</v>
      </c>
      <c r="C2153" s="41">
        <v>24028069</v>
      </c>
      <c r="D2153" s="41" t="s">
        <v>2616</v>
      </c>
      <c r="E2153" s="41" t="s">
        <v>35</v>
      </c>
      <c r="F2153" s="41" t="s">
        <v>2461</v>
      </c>
      <c r="G2153" s="41" t="s">
        <v>26</v>
      </c>
      <c r="H2153" s="42"/>
    </row>
    <row r="2154" spans="2:8" ht="18" customHeight="1" x14ac:dyDescent="0.25">
      <c r="B2154" s="40">
        <f>SUBTOTAL(3,C$4:C2154)</f>
        <v>2057</v>
      </c>
      <c r="C2154" s="41">
        <v>24120652</v>
      </c>
      <c r="D2154" s="41" t="s">
        <v>2617</v>
      </c>
      <c r="E2154" s="41" t="s">
        <v>35</v>
      </c>
      <c r="F2154" s="41" t="s">
        <v>2461</v>
      </c>
      <c r="G2154" s="41" t="s">
        <v>26</v>
      </c>
      <c r="H2154" s="42"/>
    </row>
    <row r="2155" spans="2:8" ht="18" customHeight="1" x14ac:dyDescent="0.25">
      <c r="B2155" s="40">
        <f>SUBTOTAL(3,C$4:C2155)</f>
        <v>2058</v>
      </c>
      <c r="C2155" s="41">
        <v>24031495</v>
      </c>
      <c r="D2155" s="41" t="s">
        <v>2622</v>
      </c>
      <c r="E2155" s="41" t="s">
        <v>35</v>
      </c>
      <c r="F2155" s="41" t="s">
        <v>2461</v>
      </c>
      <c r="G2155" s="41" t="s">
        <v>26</v>
      </c>
      <c r="H2155" s="42"/>
    </row>
    <row r="2156" spans="2:8" ht="18" customHeight="1" x14ac:dyDescent="0.25">
      <c r="B2156" s="40">
        <f>SUBTOTAL(3,C$4:C2156)</f>
        <v>2059</v>
      </c>
      <c r="C2156" s="41">
        <v>24019260</v>
      </c>
      <c r="D2156" s="41" t="s">
        <v>2624</v>
      </c>
      <c r="E2156" s="41" t="s">
        <v>35</v>
      </c>
      <c r="F2156" s="41" t="s">
        <v>2461</v>
      </c>
      <c r="G2156" s="41" t="s">
        <v>26</v>
      </c>
      <c r="H2156" s="42"/>
    </row>
    <row r="2157" spans="2:8" ht="18" customHeight="1" x14ac:dyDescent="0.25">
      <c r="B2157" s="40">
        <f>SUBTOTAL(3,C$4:C2157)</f>
        <v>2060</v>
      </c>
      <c r="C2157" s="41">
        <v>24021467</v>
      </c>
      <c r="D2157" s="41" t="s">
        <v>2625</v>
      </c>
      <c r="E2157" s="41" t="s">
        <v>35</v>
      </c>
      <c r="F2157" s="41" t="s">
        <v>2461</v>
      </c>
      <c r="G2157" s="41" t="s">
        <v>26</v>
      </c>
      <c r="H2157" s="42"/>
    </row>
    <row r="2158" spans="2:8" ht="18" customHeight="1" x14ac:dyDescent="0.25">
      <c r="B2158" s="40">
        <f>SUBTOTAL(3,C$4:C2158)</f>
        <v>2061</v>
      </c>
      <c r="C2158" s="41">
        <v>24021682</v>
      </c>
      <c r="D2158" s="41" t="s">
        <v>2628</v>
      </c>
      <c r="E2158" s="41" t="s">
        <v>35</v>
      </c>
      <c r="F2158" s="41" t="s">
        <v>2461</v>
      </c>
      <c r="G2158" s="41" t="s">
        <v>26</v>
      </c>
      <c r="H2158" s="42"/>
    </row>
    <row r="2159" spans="2:8" ht="18" customHeight="1" x14ac:dyDescent="0.25">
      <c r="B2159" s="40">
        <f>SUBTOTAL(3,C$4:C2159)</f>
        <v>2062</v>
      </c>
      <c r="C2159" s="41">
        <v>24028434</v>
      </c>
      <c r="D2159" s="41" t="s">
        <v>2630</v>
      </c>
      <c r="E2159" s="41" t="s">
        <v>35</v>
      </c>
      <c r="F2159" s="41" t="s">
        <v>2461</v>
      </c>
      <c r="G2159" s="41" t="s">
        <v>26</v>
      </c>
      <c r="H2159" s="42"/>
    </row>
    <row r="2160" spans="2:8" ht="18" customHeight="1" x14ac:dyDescent="0.25">
      <c r="B2160" s="40">
        <f>SUBTOTAL(3,C$4:C2160)</f>
        <v>2063</v>
      </c>
      <c r="C2160" s="41">
        <v>24022769</v>
      </c>
      <c r="D2160" s="41" t="s">
        <v>2633</v>
      </c>
      <c r="E2160" s="41" t="s">
        <v>35</v>
      </c>
      <c r="F2160" s="41" t="s">
        <v>2461</v>
      </c>
      <c r="G2160" s="41" t="s">
        <v>26</v>
      </c>
      <c r="H2160" s="42"/>
    </row>
    <row r="2161" spans="2:8" ht="18" customHeight="1" x14ac:dyDescent="0.25">
      <c r="B2161" s="40">
        <f>SUBTOTAL(3,C$4:C2161)</f>
        <v>2064</v>
      </c>
      <c r="C2161" s="41">
        <v>24030917</v>
      </c>
      <c r="D2161" s="41" t="s">
        <v>2634</v>
      </c>
      <c r="E2161" s="41" t="s">
        <v>35</v>
      </c>
      <c r="F2161" s="41" t="s">
        <v>2461</v>
      </c>
      <c r="G2161" s="41" t="s">
        <v>26</v>
      </c>
      <c r="H2161" s="42"/>
    </row>
    <row r="2162" spans="2:8" ht="18" customHeight="1" x14ac:dyDescent="0.25">
      <c r="B2162" s="40">
        <f>SUBTOTAL(3,C$4:C2162)</f>
        <v>2065</v>
      </c>
      <c r="C2162" s="41">
        <v>24031737</v>
      </c>
      <c r="D2162" s="41" t="s">
        <v>2637</v>
      </c>
      <c r="E2162" s="41" t="s">
        <v>35</v>
      </c>
      <c r="F2162" s="41" t="s">
        <v>2461</v>
      </c>
      <c r="G2162" s="41" t="s">
        <v>24</v>
      </c>
      <c r="H2162" s="42"/>
    </row>
    <row r="2163" spans="2:8" ht="18" customHeight="1" x14ac:dyDescent="0.25">
      <c r="B2163" s="40">
        <f>SUBTOTAL(3,C$4:C2163)</f>
        <v>2066</v>
      </c>
      <c r="C2163" s="41">
        <v>24030234</v>
      </c>
      <c r="D2163" s="41" t="s">
        <v>2466</v>
      </c>
      <c r="E2163" s="41" t="s">
        <v>35</v>
      </c>
      <c r="F2163" s="41" t="s">
        <v>2467</v>
      </c>
      <c r="G2163" s="41" t="s">
        <v>26</v>
      </c>
      <c r="H2163" s="42"/>
    </row>
    <row r="2164" spans="2:8" ht="18" customHeight="1" x14ac:dyDescent="0.25">
      <c r="B2164" s="40">
        <f>SUBTOTAL(3,C$4:C2164)</f>
        <v>2067</v>
      </c>
      <c r="C2164" s="41">
        <v>24037146</v>
      </c>
      <c r="D2164" s="41" t="s">
        <v>2468</v>
      </c>
      <c r="E2164" s="41" t="s">
        <v>35</v>
      </c>
      <c r="F2164" s="41" t="s">
        <v>2467</v>
      </c>
      <c r="G2164" s="41" t="s">
        <v>26</v>
      </c>
      <c r="H2164" s="42"/>
    </row>
    <row r="2165" spans="2:8" ht="18" customHeight="1" x14ac:dyDescent="0.25">
      <c r="B2165" s="40">
        <f>SUBTOTAL(3,C$4:C2165)</f>
        <v>2068</v>
      </c>
      <c r="C2165" s="41">
        <v>24030867</v>
      </c>
      <c r="D2165" s="41" t="s">
        <v>2469</v>
      </c>
      <c r="E2165" s="41" t="s">
        <v>35</v>
      </c>
      <c r="F2165" s="41" t="s">
        <v>2467</v>
      </c>
      <c r="G2165" s="41" t="s">
        <v>26</v>
      </c>
      <c r="H2165" s="42"/>
    </row>
    <row r="2166" spans="2:8" ht="18" customHeight="1" x14ac:dyDescent="0.25">
      <c r="B2166" s="40">
        <f>SUBTOTAL(3,C$4:C2166)</f>
        <v>2069</v>
      </c>
      <c r="C2166" s="41">
        <v>24023171</v>
      </c>
      <c r="D2166" s="41" t="s">
        <v>2474</v>
      </c>
      <c r="E2166" s="41" t="s">
        <v>35</v>
      </c>
      <c r="F2166" s="41" t="s">
        <v>2467</v>
      </c>
      <c r="G2166" s="41" t="s">
        <v>24</v>
      </c>
      <c r="H2166" s="42"/>
    </row>
    <row r="2167" spans="2:8" ht="18" customHeight="1" x14ac:dyDescent="0.25">
      <c r="B2167" s="40">
        <f>SUBTOTAL(3,C$4:C2167)</f>
        <v>2070</v>
      </c>
      <c r="C2167" s="41">
        <v>24038371</v>
      </c>
      <c r="D2167" s="41" t="s">
        <v>2478</v>
      </c>
      <c r="E2167" s="41" t="s">
        <v>35</v>
      </c>
      <c r="F2167" s="41" t="s">
        <v>2467</v>
      </c>
      <c r="G2167" s="41" t="s">
        <v>26</v>
      </c>
      <c r="H2167" s="42"/>
    </row>
    <row r="2168" spans="2:8" ht="18" customHeight="1" x14ac:dyDescent="0.25">
      <c r="B2168" s="40">
        <f>SUBTOTAL(3,C$4:C2168)</f>
        <v>2071</v>
      </c>
      <c r="C2168" s="41">
        <v>24023108</v>
      </c>
      <c r="D2168" s="41" t="s">
        <v>2491</v>
      </c>
      <c r="E2168" s="41" t="s">
        <v>35</v>
      </c>
      <c r="F2168" s="41" t="s">
        <v>2467</v>
      </c>
      <c r="G2168" s="41" t="s">
        <v>24</v>
      </c>
      <c r="H2168" s="42"/>
    </row>
    <row r="2169" spans="2:8" ht="18" customHeight="1" x14ac:dyDescent="0.25">
      <c r="B2169" s="40">
        <f>SUBTOTAL(3,C$4:C2169)</f>
        <v>2072</v>
      </c>
      <c r="C2169" s="41">
        <v>24034582</v>
      </c>
      <c r="D2169" s="41" t="s">
        <v>2495</v>
      </c>
      <c r="E2169" s="41" t="s">
        <v>35</v>
      </c>
      <c r="F2169" s="41" t="s">
        <v>2467</v>
      </c>
      <c r="G2169" s="41" t="s">
        <v>26</v>
      </c>
      <c r="H2169" s="42"/>
    </row>
    <row r="2170" spans="2:8" ht="18" customHeight="1" x14ac:dyDescent="0.25">
      <c r="B2170" s="40">
        <f>SUBTOTAL(3,C$4:C2170)</f>
        <v>2073</v>
      </c>
      <c r="C2170" s="41">
        <v>24020558</v>
      </c>
      <c r="D2170" s="41" t="s">
        <v>2497</v>
      </c>
      <c r="E2170" s="41" t="s">
        <v>35</v>
      </c>
      <c r="F2170" s="41" t="s">
        <v>2467</v>
      </c>
      <c r="G2170" s="41" t="s">
        <v>26</v>
      </c>
      <c r="H2170" s="42"/>
    </row>
    <row r="2171" spans="2:8" ht="18" customHeight="1" x14ac:dyDescent="0.25">
      <c r="B2171" s="40">
        <f>SUBTOTAL(3,C$4:C2171)</f>
        <v>2074</v>
      </c>
      <c r="C2171" s="41">
        <v>24027817</v>
      </c>
      <c r="D2171" s="41" t="s">
        <v>2499</v>
      </c>
      <c r="E2171" s="41" t="s">
        <v>35</v>
      </c>
      <c r="F2171" s="41" t="s">
        <v>2467</v>
      </c>
      <c r="G2171" s="41" t="s">
        <v>26</v>
      </c>
      <c r="H2171" s="42"/>
    </row>
    <row r="2172" spans="2:8" ht="18" customHeight="1" x14ac:dyDescent="0.25">
      <c r="B2172" s="40">
        <f>SUBTOTAL(3,C$4:C2172)</f>
        <v>2075</v>
      </c>
      <c r="C2172" s="41">
        <v>24171538</v>
      </c>
      <c r="D2172" s="41" t="s">
        <v>2501</v>
      </c>
      <c r="E2172" s="41" t="s">
        <v>35</v>
      </c>
      <c r="F2172" s="41" t="s">
        <v>2467</v>
      </c>
      <c r="G2172" s="41" t="s">
        <v>26</v>
      </c>
      <c r="H2172" s="42"/>
    </row>
    <row r="2173" spans="2:8" ht="18" customHeight="1" x14ac:dyDescent="0.25">
      <c r="B2173" s="40">
        <f>SUBTOTAL(3,C$4:C2173)</f>
        <v>2076</v>
      </c>
      <c r="C2173" s="41">
        <v>24021679</v>
      </c>
      <c r="D2173" s="41" t="s">
        <v>2502</v>
      </c>
      <c r="E2173" s="41" t="s">
        <v>35</v>
      </c>
      <c r="F2173" s="41" t="s">
        <v>2467</v>
      </c>
      <c r="G2173" s="41" t="s">
        <v>26</v>
      </c>
      <c r="H2173" s="42"/>
    </row>
    <row r="2174" spans="2:8" ht="18" customHeight="1" x14ac:dyDescent="0.25">
      <c r="B2174" s="40">
        <f>SUBTOTAL(3,C$4:C2174)</f>
        <v>2077</v>
      </c>
      <c r="C2174" s="41">
        <v>24038598</v>
      </c>
      <c r="D2174" s="41" t="s">
        <v>2505</v>
      </c>
      <c r="E2174" s="41" t="s">
        <v>35</v>
      </c>
      <c r="F2174" s="41" t="s">
        <v>2467</v>
      </c>
      <c r="G2174" s="41" t="s">
        <v>26</v>
      </c>
      <c r="H2174" s="42"/>
    </row>
    <row r="2175" spans="2:8" ht="18" customHeight="1" x14ac:dyDescent="0.25">
      <c r="B2175" s="40">
        <f>SUBTOTAL(3,C$4:C2175)</f>
        <v>2078</v>
      </c>
      <c r="C2175" s="41">
        <v>24030067</v>
      </c>
      <c r="D2175" s="41" t="s">
        <v>2507</v>
      </c>
      <c r="E2175" s="41" t="s">
        <v>35</v>
      </c>
      <c r="F2175" s="41" t="s">
        <v>2467</v>
      </c>
      <c r="G2175" s="41" t="s">
        <v>26</v>
      </c>
      <c r="H2175" s="42"/>
    </row>
    <row r="2176" spans="2:8" ht="18" customHeight="1" x14ac:dyDescent="0.25">
      <c r="B2176" s="40">
        <f>SUBTOTAL(3,C$4:C2176)</f>
        <v>2079</v>
      </c>
      <c r="C2176" s="41">
        <v>24029235</v>
      </c>
      <c r="D2176" s="41" t="s">
        <v>2516</v>
      </c>
      <c r="E2176" s="41" t="s">
        <v>35</v>
      </c>
      <c r="F2176" s="41" t="s">
        <v>2467</v>
      </c>
      <c r="G2176" s="41" t="s">
        <v>26</v>
      </c>
      <c r="H2176" s="42"/>
    </row>
    <row r="2177" spans="2:8" ht="18" customHeight="1" x14ac:dyDescent="0.25">
      <c r="B2177" s="40">
        <f>SUBTOTAL(3,C$4:C2177)</f>
        <v>2080</v>
      </c>
      <c r="C2177" s="41">
        <v>24028903</v>
      </c>
      <c r="D2177" s="41" t="s">
        <v>2518</v>
      </c>
      <c r="E2177" s="41" t="s">
        <v>35</v>
      </c>
      <c r="F2177" s="41" t="s">
        <v>2467</v>
      </c>
      <c r="G2177" s="41" t="s">
        <v>26</v>
      </c>
      <c r="H2177" s="42"/>
    </row>
    <row r="2178" spans="2:8" ht="18" customHeight="1" x14ac:dyDescent="0.25">
      <c r="B2178" s="40">
        <f>SUBTOTAL(3,C$4:C2178)</f>
        <v>2081</v>
      </c>
      <c r="C2178" s="41">
        <v>24020103</v>
      </c>
      <c r="D2178" s="41" t="s">
        <v>2519</v>
      </c>
      <c r="E2178" s="41" t="s">
        <v>35</v>
      </c>
      <c r="F2178" s="41" t="s">
        <v>2467</v>
      </c>
      <c r="G2178" s="41" t="s">
        <v>26</v>
      </c>
      <c r="H2178" s="42"/>
    </row>
    <row r="2179" spans="2:8" ht="18" customHeight="1" x14ac:dyDescent="0.25">
      <c r="B2179" s="40">
        <f>SUBTOTAL(3,C$4:C2179)</f>
        <v>2082</v>
      </c>
      <c r="C2179" s="41">
        <v>24033926</v>
      </c>
      <c r="D2179" s="41" t="s">
        <v>2525</v>
      </c>
      <c r="E2179" s="41" t="s">
        <v>35</v>
      </c>
      <c r="F2179" s="41" t="s">
        <v>2467</v>
      </c>
      <c r="G2179" s="41" t="s">
        <v>24</v>
      </c>
      <c r="H2179" s="42"/>
    </row>
    <row r="2180" spans="2:8" ht="18" customHeight="1" x14ac:dyDescent="0.25">
      <c r="B2180" s="40">
        <f>SUBTOTAL(3,C$4:C2180)</f>
        <v>2083</v>
      </c>
      <c r="C2180" s="41">
        <v>24030127</v>
      </c>
      <c r="D2180" s="41" t="s">
        <v>2529</v>
      </c>
      <c r="E2180" s="41" t="s">
        <v>35</v>
      </c>
      <c r="F2180" s="41" t="s">
        <v>2467</v>
      </c>
      <c r="G2180" s="41" t="s">
        <v>26</v>
      </c>
      <c r="H2180" s="42"/>
    </row>
    <row r="2181" spans="2:8" ht="18" customHeight="1" x14ac:dyDescent="0.25">
      <c r="B2181" s="40">
        <f>SUBTOTAL(3,C$4:C2181)</f>
        <v>2084</v>
      </c>
      <c r="C2181" s="41">
        <v>24035814</v>
      </c>
      <c r="D2181" s="41" t="s">
        <v>2531</v>
      </c>
      <c r="E2181" s="41" t="s">
        <v>35</v>
      </c>
      <c r="F2181" s="41" t="s">
        <v>2467</v>
      </c>
      <c r="G2181" s="41" t="s">
        <v>26</v>
      </c>
      <c r="H2181" s="42"/>
    </row>
    <row r="2182" spans="2:8" ht="18" customHeight="1" x14ac:dyDescent="0.25">
      <c r="B2182" s="40">
        <f>SUBTOTAL(3,C$4:C2182)</f>
        <v>2085</v>
      </c>
      <c r="C2182" s="41">
        <v>24030098</v>
      </c>
      <c r="D2182" s="41" t="s">
        <v>2535</v>
      </c>
      <c r="E2182" s="41" t="s">
        <v>35</v>
      </c>
      <c r="F2182" s="41" t="s">
        <v>2467</v>
      </c>
      <c r="G2182" s="41" t="s">
        <v>26</v>
      </c>
      <c r="H2182" s="42"/>
    </row>
    <row r="2183" spans="2:8" ht="18" customHeight="1" x14ac:dyDescent="0.25">
      <c r="B2183" s="40">
        <f>SUBTOTAL(3,C$4:C2183)</f>
        <v>2086</v>
      </c>
      <c r="C2183" s="41">
        <v>24028658</v>
      </c>
      <c r="D2183" s="41" t="s">
        <v>2536</v>
      </c>
      <c r="E2183" s="41" t="s">
        <v>35</v>
      </c>
      <c r="F2183" s="41" t="s">
        <v>2467</v>
      </c>
      <c r="G2183" s="41" t="s">
        <v>26</v>
      </c>
      <c r="H2183" s="42"/>
    </row>
    <row r="2184" spans="2:8" ht="18" customHeight="1" x14ac:dyDescent="0.25">
      <c r="B2184" s="40">
        <f>SUBTOTAL(3,C$4:C2184)</f>
        <v>2087</v>
      </c>
      <c r="C2184" s="41">
        <v>24038280</v>
      </c>
      <c r="D2184" s="41" t="s">
        <v>2543</v>
      </c>
      <c r="E2184" s="41" t="s">
        <v>35</v>
      </c>
      <c r="F2184" s="41" t="s">
        <v>2467</v>
      </c>
      <c r="G2184" s="41" t="s">
        <v>26</v>
      </c>
      <c r="H2184" s="42"/>
    </row>
    <row r="2185" spans="2:8" ht="18" customHeight="1" x14ac:dyDescent="0.25">
      <c r="B2185" s="40">
        <f>SUBTOTAL(3,C$4:C2185)</f>
        <v>2088</v>
      </c>
      <c r="C2185" s="41">
        <v>24029840</v>
      </c>
      <c r="D2185" s="41" t="s">
        <v>2549</v>
      </c>
      <c r="E2185" s="41" t="s">
        <v>35</v>
      </c>
      <c r="F2185" s="41" t="s">
        <v>2467</v>
      </c>
      <c r="G2185" s="41" t="s">
        <v>26</v>
      </c>
      <c r="H2185" s="42"/>
    </row>
    <row r="2186" spans="2:8" ht="18" customHeight="1" x14ac:dyDescent="0.25">
      <c r="B2186" s="40">
        <f>SUBTOTAL(3,C$4:C2186)</f>
        <v>2089</v>
      </c>
      <c r="C2186" s="41">
        <v>24033983</v>
      </c>
      <c r="D2186" s="41" t="s">
        <v>2553</v>
      </c>
      <c r="E2186" s="41" t="s">
        <v>35</v>
      </c>
      <c r="F2186" s="41" t="s">
        <v>2467</v>
      </c>
      <c r="G2186" s="41" t="s">
        <v>26</v>
      </c>
      <c r="H2186" s="42"/>
    </row>
    <row r="2187" spans="2:8" ht="18" customHeight="1" x14ac:dyDescent="0.25">
      <c r="B2187" s="40">
        <f>SUBTOTAL(3,C$4:C2187)</f>
        <v>2090</v>
      </c>
      <c r="C2187" s="41">
        <v>24029009</v>
      </c>
      <c r="D2187" s="41" t="s">
        <v>2554</v>
      </c>
      <c r="E2187" s="41" t="s">
        <v>35</v>
      </c>
      <c r="F2187" s="41" t="s">
        <v>2467</v>
      </c>
      <c r="G2187" s="41" t="s">
        <v>26</v>
      </c>
      <c r="H2187" s="42"/>
    </row>
    <row r="2188" spans="2:8" ht="18" customHeight="1" x14ac:dyDescent="0.25">
      <c r="B2188" s="40">
        <f>SUBTOTAL(3,C$4:C2188)</f>
        <v>2091</v>
      </c>
      <c r="C2188" s="41">
        <v>24029863</v>
      </c>
      <c r="D2188" s="41" t="s">
        <v>2559</v>
      </c>
      <c r="E2188" s="41" t="s">
        <v>35</v>
      </c>
      <c r="F2188" s="41" t="s">
        <v>2467</v>
      </c>
      <c r="G2188" s="41" t="s">
        <v>26</v>
      </c>
      <c r="H2188" s="42"/>
    </row>
    <row r="2189" spans="2:8" ht="18" customHeight="1" x14ac:dyDescent="0.25">
      <c r="B2189" s="40">
        <f>SUBTOTAL(3,C$4:C2189)</f>
        <v>2092</v>
      </c>
      <c r="C2189" s="41">
        <v>24030020</v>
      </c>
      <c r="D2189" s="41" t="s">
        <v>2562</v>
      </c>
      <c r="E2189" s="41" t="s">
        <v>35</v>
      </c>
      <c r="F2189" s="41" t="s">
        <v>2467</v>
      </c>
      <c r="G2189" s="41" t="s">
        <v>24</v>
      </c>
      <c r="H2189" s="42"/>
    </row>
    <row r="2190" spans="2:8" ht="18" customHeight="1" x14ac:dyDescent="0.25">
      <c r="B2190" s="40">
        <f>SUBTOTAL(3,C$4:C2190)</f>
        <v>2093</v>
      </c>
      <c r="C2190" s="41">
        <v>24025994</v>
      </c>
      <c r="D2190" s="41" t="s">
        <v>2566</v>
      </c>
      <c r="E2190" s="41" t="s">
        <v>35</v>
      </c>
      <c r="F2190" s="41" t="s">
        <v>2467</v>
      </c>
      <c r="G2190" s="41" t="s">
        <v>26</v>
      </c>
      <c r="H2190" s="42"/>
    </row>
    <row r="2191" spans="2:8" ht="18" customHeight="1" x14ac:dyDescent="0.25">
      <c r="B2191" s="40">
        <f>SUBTOTAL(3,C$4:C2191)</f>
        <v>2094</v>
      </c>
      <c r="C2191" s="41">
        <v>24025657</v>
      </c>
      <c r="D2191" s="41" t="s">
        <v>2568</v>
      </c>
      <c r="E2191" s="41" t="s">
        <v>35</v>
      </c>
      <c r="F2191" s="41" t="s">
        <v>2467</v>
      </c>
      <c r="G2191" s="41" t="s">
        <v>26</v>
      </c>
      <c r="H2191" s="42"/>
    </row>
    <row r="2192" spans="2:8" ht="18" customHeight="1" x14ac:dyDescent="0.25">
      <c r="B2192" s="40">
        <f>SUBTOTAL(3,C$4:C2192)</f>
        <v>2095</v>
      </c>
      <c r="C2192" s="41">
        <v>24029901</v>
      </c>
      <c r="D2192" s="41" t="s">
        <v>2573</v>
      </c>
      <c r="E2192" s="41" t="s">
        <v>35</v>
      </c>
      <c r="F2192" s="41" t="s">
        <v>2467</v>
      </c>
      <c r="G2192" s="41" t="s">
        <v>26</v>
      </c>
      <c r="H2192" s="42"/>
    </row>
    <row r="2193" spans="2:8" ht="18" customHeight="1" x14ac:dyDescent="0.25">
      <c r="B2193" s="40">
        <f>SUBTOTAL(3,C$4:C2193)</f>
        <v>2096</v>
      </c>
      <c r="C2193" s="41">
        <v>24019287</v>
      </c>
      <c r="D2193" s="41" t="s">
        <v>2591</v>
      </c>
      <c r="E2193" s="41" t="s">
        <v>35</v>
      </c>
      <c r="F2193" s="41" t="s">
        <v>2467</v>
      </c>
      <c r="G2193" s="41" t="s">
        <v>26</v>
      </c>
      <c r="H2193" s="42"/>
    </row>
    <row r="2194" spans="2:8" ht="18" customHeight="1" x14ac:dyDescent="0.25">
      <c r="B2194" s="40">
        <f>SUBTOTAL(3,C$4:C2194)</f>
        <v>2097</v>
      </c>
      <c r="C2194" s="41">
        <v>24030730</v>
      </c>
      <c r="D2194" s="41" t="s">
        <v>2592</v>
      </c>
      <c r="E2194" s="41" t="s">
        <v>35</v>
      </c>
      <c r="F2194" s="41" t="s">
        <v>2467</v>
      </c>
      <c r="G2194" s="41" t="s">
        <v>26</v>
      </c>
      <c r="H2194" s="42"/>
    </row>
    <row r="2195" spans="2:8" ht="18" customHeight="1" x14ac:dyDescent="0.25">
      <c r="B2195" s="40">
        <f>SUBTOTAL(3,C$4:C2195)</f>
        <v>2098</v>
      </c>
      <c r="C2195" s="41">
        <v>24037343</v>
      </c>
      <c r="D2195" s="41" t="s">
        <v>2594</v>
      </c>
      <c r="E2195" s="41" t="s">
        <v>35</v>
      </c>
      <c r="F2195" s="41" t="s">
        <v>2467</v>
      </c>
      <c r="G2195" s="41" t="s">
        <v>26</v>
      </c>
      <c r="H2195" s="42"/>
    </row>
    <row r="2196" spans="2:8" ht="18" customHeight="1" x14ac:dyDescent="0.25">
      <c r="B2196" s="40">
        <f>SUBTOTAL(3,C$4:C2196)</f>
        <v>2099</v>
      </c>
      <c r="C2196" s="41">
        <v>24020311</v>
      </c>
      <c r="D2196" s="41" t="s">
        <v>2596</v>
      </c>
      <c r="E2196" s="41" t="s">
        <v>35</v>
      </c>
      <c r="F2196" s="41" t="s">
        <v>2467</v>
      </c>
      <c r="G2196" s="41" t="s">
        <v>26</v>
      </c>
      <c r="H2196" s="42"/>
    </row>
    <row r="2197" spans="2:8" ht="18" customHeight="1" x14ac:dyDescent="0.25">
      <c r="B2197" s="40">
        <f>SUBTOTAL(3,C$4:C2197)</f>
        <v>2100</v>
      </c>
      <c r="C2197" s="41">
        <v>24021488</v>
      </c>
      <c r="D2197" s="41" t="s">
        <v>2607</v>
      </c>
      <c r="E2197" s="41" t="s">
        <v>35</v>
      </c>
      <c r="F2197" s="41" t="s">
        <v>2467</v>
      </c>
      <c r="G2197" s="41" t="s">
        <v>26</v>
      </c>
      <c r="H2197" s="42"/>
    </row>
    <row r="2198" spans="2:8" ht="18" customHeight="1" x14ac:dyDescent="0.25">
      <c r="B2198" s="40">
        <f>SUBTOTAL(3,C$4:C2198)</f>
        <v>2101</v>
      </c>
      <c r="C2198" s="41">
        <v>24035679</v>
      </c>
      <c r="D2198" s="41" t="s">
        <v>2278</v>
      </c>
      <c r="E2198" s="41" t="s">
        <v>35</v>
      </c>
      <c r="F2198" s="41" t="s">
        <v>2467</v>
      </c>
      <c r="G2198" s="41" t="s">
        <v>26</v>
      </c>
      <c r="H2198" s="42"/>
    </row>
    <row r="2199" spans="2:8" ht="18" customHeight="1" x14ac:dyDescent="0.25">
      <c r="B2199" s="40">
        <f>SUBTOTAL(3,C$4:C2199)</f>
        <v>2102</v>
      </c>
      <c r="C2199" s="41">
        <v>24021167</v>
      </c>
      <c r="D2199" s="41" t="s">
        <v>2611</v>
      </c>
      <c r="E2199" s="41" t="s">
        <v>35</v>
      </c>
      <c r="F2199" s="41" t="s">
        <v>2467</v>
      </c>
      <c r="G2199" s="41" t="s">
        <v>26</v>
      </c>
      <c r="H2199" s="42"/>
    </row>
    <row r="2200" spans="2:8" ht="18" customHeight="1" x14ac:dyDescent="0.25">
      <c r="B2200" s="40">
        <f>SUBTOTAL(3,C$4:C2200)</f>
        <v>2103</v>
      </c>
      <c r="C2200" s="41">
        <v>24025184</v>
      </c>
      <c r="D2200" s="41" t="s">
        <v>2614</v>
      </c>
      <c r="E2200" s="41" t="s">
        <v>35</v>
      </c>
      <c r="F2200" s="41" t="s">
        <v>2467</v>
      </c>
      <c r="G2200" s="41" t="s">
        <v>26</v>
      </c>
      <c r="H2200" s="42"/>
    </row>
    <row r="2201" spans="2:8" ht="18" customHeight="1" x14ac:dyDescent="0.25">
      <c r="B2201" s="40">
        <f>SUBTOTAL(3,C$4:C2201)</f>
        <v>2104</v>
      </c>
      <c r="C2201" s="41">
        <v>24028930</v>
      </c>
      <c r="D2201" s="41" t="s">
        <v>2627</v>
      </c>
      <c r="E2201" s="41" t="s">
        <v>35</v>
      </c>
      <c r="F2201" s="41" t="s">
        <v>2467</v>
      </c>
      <c r="G2201" s="41" t="s">
        <v>26</v>
      </c>
      <c r="H2201" s="42"/>
    </row>
    <row r="2202" spans="2:8" ht="18" customHeight="1" x14ac:dyDescent="0.25">
      <c r="B2202" s="40">
        <f>SUBTOTAL(3,C$4:C2202)</f>
        <v>2105</v>
      </c>
      <c r="C2202" s="41">
        <v>24033775</v>
      </c>
      <c r="D2202" s="41" t="s">
        <v>2632</v>
      </c>
      <c r="E2202" s="41" t="s">
        <v>35</v>
      </c>
      <c r="F2202" s="41" t="s">
        <v>2467</v>
      </c>
      <c r="G2202" s="41" t="s">
        <v>26</v>
      </c>
      <c r="H2202" s="42"/>
    </row>
    <row r="2203" spans="2:8" ht="18" customHeight="1" x14ac:dyDescent="0.25">
      <c r="B2203" s="40">
        <f>SUBTOTAL(3,C$4:C2203)</f>
        <v>2106</v>
      </c>
      <c r="C2203" s="41">
        <v>24026242</v>
      </c>
      <c r="D2203" s="41" t="s">
        <v>2636</v>
      </c>
      <c r="E2203" s="41" t="s">
        <v>35</v>
      </c>
      <c r="F2203" s="41" t="s">
        <v>2467</v>
      </c>
      <c r="G2203" s="41" t="s">
        <v>26</v>
      </c>
      <c r="H2203" s="42"/>
    </row>
    <row r="2204" spans="2:8" ht="18" customHeight="1" x14ac:dyDescent="0.25">
      <c r="B2204" s="40">
        <f>SUBTOTAL(3,C$4:C2204)</f>
        <v>2107</v>
      </c>
      <c r="C2204" s="41">
        <v>24027526</v>
      </c>
      <c r="D2204" s="41" t="s">
        <v>2470</v>
      </c>
      <c r="E2204" s="41" t="s">
        <v>35</v>
      </c>
      <c r="F2204" s="41" t="s">
        <v>2471</v>
      </c>
      <c r="G2204" s="41" t="s">
        <v>24</v>
      </c>
      <c r="H2204" s="42"/>
    </row>
    <row r="2205" spans="2:8" ht="18" customHeight="1" x14ac:dyDescent="0.25">
      <c r="B2205" s="40">
        <f>SUBTOTAL(3,C$4:C2205)</f>
        <v>2108</v>
      </c>
      <c r="C2205" s="41">
        <v>24020594</v>
      </c>
      <c r="D2205" s="41" t="s">
        <v>2476</v>
      </c>
      <c r="E2205" s="41" t="s">
        <v>35</v>
      </c>
      <c r="F2205" s="41" t="s">
        <v>2471</v>
      </c>
      <c r="G2205" s="41" t="s">
        <v>24</v>
      </c>
      <c r="H2205" s="42"/>
    </row>
    <row r="2206" spans="2:8" ht="18" customHeight="1" x14ac:dyDescent="0.25">
      <c r="B2206" s="40">
        <f>SUBTOTAL(3,C$4:C2206)</f>
        <v>2109</v>
      </c>
      <c r="C2206" s="41">
        <v>24026442</v>
      </c>
      <c r="D2206" s="41" t="s">
        <v>2483</v>
      </c>
      <c r="E2206" s="41" t="s">
        <v>35</v>
      </c>
      <c r="F2206" s="41" t="s">
        <v>2471</v>
      </c>
      <c r="G2206" s="41" t="s">
        <v>24</v>
      </c>
      <c r="H2206" s="42"/>
    </row>
    <row r="2207" spans="2:8" ht="18" customHeight="1" x14ac:dyDescent="0.25">
      <c r="B2207" s="40">
        <f>SUBTOTAL(3,C$4:C2207)</f>
        <v>2110</v>
      </c>
      <c r="C2207" s="41">
        <v>24031671</v>
      </c>
      <c r="D2207" s="41" t="s">
        <v>2603</v>
      </c>
      <c r="E2207" s="41" t="s">
        <v>35</v>
      </c>
      <c r="F2207" s="41" t="s">
        <v>2471</v>
      </c>
      <c r="G2207" s="41" t="s">
        <v>24</v>
      </c>
      <c r="H2207" s="42"/>
    </row>
    <row r="2208" spans="2:8" ht="18" customHeight="1" x14ac:dyDescent="0.25">
      <c r="B2208" s="40">
        <f>SUBTOTAL(3,C$4:C2208)</f>
        <v>2111</v>
      </c>
      <c r="C2208" s="41">
        <v>24027016</v>
      </c>
      <c r="D2208" s="41" t="s">
        <v>2527</v>
      </c>
      <c r="E2208" s="41" t="s">
        <v>35</v>
      </c>
      <c r="F2208" s="41" t="s">
        <v>2528</v>
      </c>
      <c r="G2208" s="41" t="s">
        <v>24</v>
      </c>
      <c r="H2208" s="42"/>
    </row>
    <row r="2209" spans="2:8" ht="18" customHeight="1" x14ac:dyDescent="0.25">
      <c r="B2209" s="40">
        <f>SUBTOTAL(3,C$4:C2209)</f>
        <v>2112</v>
      </c>
      <c r="C2209" s="41">
        <v>24021239</v>
      </c>
      <c r="D2209" s="41" t="s">
        <v>2533</v>
      </c>
      <c r="E2209" s="41" t="s">
        <v>35</v>
      </c>
      <c r="F2209" s="41" t="s">
        <v>2528</v>
      </c>
      <c r="G2209" s="41" t="s">
        <v>24</v>
      </c>
      <c r="H2209" s="42"/>
    </row>
    <row r="2210" spans="2:8" ht="18" customHeight="1" x14ac:dyDescent="0.25">
      <c r="B2210" s="40">
        <f>SUBTOTAL(3,C$4:C2210)</f>
        <v>2113</v>
      </c>
      <c r="C2210" s="41">
        <v>24025237</v>
      </c>
      <c r="D2210" s="41" t="s">
        <v>2593</v>
      </c>
      <c r="E2210" s="41" t="s">
        <v>35</v>
      </c>
      <c r="F2210" s="41" t="s">
        <v>2528</v>
      </c>
      <c r="G2210" s="41" t="s">
        <v>24</v>
      </c>
      <c r="H2210" s="42"/>
    </row>
    <row r="2211" spans="2:8" ht="18" customHeight="1" x14ac:dyDescent="0.25">
      <c r="B2211" s="40">
        <f>SUBTOTAL(3,C$4:C2211)</f>
        <v>2114</v>
      </c>
      <c r="C2211" s="41">
        <v>24031894</v>
      </c>
      <c r="D2211" s="41" t="s">
        <v>2456</v>
      </c>
      <c r="E2211" s="41" t="s">
        <v>35</v>
      </c>
      <c r="F2211" s="41" t="s">
        <v>2457</v>
      </c>
      <c r="G2211" s="41" t="s">
        <v>26</v>
      </c>
      <c r="H2211" s="42"/>
    </row>
    <row r="2212" spans="2:8" ht="18" customHeight="1" x14ac:dyDescent="0.25">
      <c r="B2212" s="40">
        <f>SUBTOTAL(3,C$4:C2212)</f>
        <v>2115</v>
      </c>
      <c r="C2212" s="41">
        <v>24020510</v>
      </c>
      <c r="D2212" s="41" t="s">
        <v>2462</v>
      </c>
      <c r="E2212" s="41" t="s">
        <v>35</v>
      </c>
      <c r="F2212" s="41" t="s">
        <v>2457</v>
      </c>
      <c r="G2212" s="41" t="s">
        <v>26</v>
      </c>
      <c r="H2212" s="42"/>
    </row>
    <row r="2213" spans="2:8" ht="18" customHeight="1" x14ac:dyDescent="0.25">
      <c r="B2213" s="40">
        <f>SUBTOTAL(3,C$4:C2213)</f>
        <v>2116</v>
      </c>
      <c r="C2213" s="41">
        <v>24022140</v>
      </c>
      <c r="D2213" s="41" t="s">
        <v>2463</v>
      </c>
      <c r="E2213" s="41" t="s">
        <v>35</v>
      </c>
      <c r="F2213" s="41" t="s">
        <v>2457</v>
      </c>
      <c r="G2213" s="41" t="s">
        <v>26</v>
      </c>
      <c r="H2213" s="42"/>
    </row>
    <row r="2214" spans="2:8" ht="18" customHeight="1" x14ac:dyDescent="0.25">
      <c r="B2214" s="40">
        <f>SUBTOTAL(3,C$4:C2214)</f>
        <v>2117</v>
      </c>
      <c r="C2214" s="41">
        <v>24023438</v>
      </c>
      <c r="D2214" s="41" t="s">
        <v>2464</v>
      </c>
      <c r="E2214" s="41" t="s">
        <v>35</v>
      </c>
      <c r="F2214" s="41" t="s">
        <v>2457</v>
      </c>
      <c r="G2214" s="41" t="s">
        <v>26</v>
      </c>
      <c r="H2214" s="42"/>
    </row>
    <row r="2215" spans="2:8" ht="18" customHeight="1" x14ac:dyDescent="0.25">
      <c r="B2215" s="40">
        <f>SUBTOTAL(3,C$4:C2215)</f>
        <v>2118</v>
      </c>
      <c r="C2215" s="41">
        <v>24022628</v>
      </c>
      <c r="D2215" s="41" t="s">
        <v>2465</v>
      </c>
      <c r="E2215" s="41" t="s">
        <v>35</v>
      </c>
      <c r="F2215" s="41" t="s">
        <v>2457</v>
      </c>
      <c r="G2215" s="41" t="s">
        <v>26</v>
      </c>
      <c r="H2215" s="42"/>
    </row>
    <row r="2216" spans="2:8" ht="18" customHeight="1" x14ac:dyDescent="0.25">
      <c r="B2216" s="40">
        <f>SUBTOTAL(3,C$4:C2216)</f>
        <v>2119</v>
      </c>
      <c r="C2216" s="41">
        <v>24025738</v>
      </c>
      <c r="D2216" s="41" t="s">
        <v>2477</v>
      </c>
      <c r="E2216" s="41" t="s">
        <v>35</v>
      </c>
      <c r="F2216" s="41" t="s">
        <v>2457</v>
      </c>
      <c r="G2216" s="41" t="s">
        <v>26</v>
      </c>
      <c r="H2216" s="42"/>
    </row>
    <row r="2217" spans="2:8" ht="18" customHeight="1" x14ac:dyDescent="0.25">
      <c r="B2217" s="40">
        <f>SUBTOTAL(3,C$4:C2217)</f>
        <v>2120</v>
      </c>
      <c r="C2217" s="41">
        <v>24030826</v>
      </c>
      <c r="D2217" s="41" t="s">
        <v>2479</v>
      </c>
      <c r="E2217" s="41" t="s">
        <v>35</v>
      </c>
      <c r="F2217" s="41" t="s">
        <v>2457</v>
      </c>
      <c r="G2217" s="41" t="s">
        <v>26</v>
      </c>
      <c r="H2217" s="42"/>
    </row>
    <row r="2218" spans="2:8" ht="18" customHeight="1" x14ac:dyDescent="0.25">
      <c r="B2218" s="40">
        <f>SUBTOTAL(3,C$4:C2218)</f>
        <v>2121</v>
      </c>
      <c r="C2218" s="41">
        <v>24120450</v>
      </c>
      <c r="D2218" s="41" t="s">
        <v>2482</v>
      </c>
      <c r="E2218" s="41" t="s">
        <v>35</v>
      </c>
      <c r="F2218" s="41" t="s">
        <v>2457</v>
      </c>
      <c r="G2218" s="41" t="s">
        <v>26</v>
      </c>
      <c r="H2218" s="42"/>
    </row>
    <row r="2219" spans="2:8" ht="18" customHeight="1" x14ac:dyDescent="0.25">
      <c r="B2219" s="40">
        <f>SUBTOTAL(3,C$4:C2219)</f>
        <v>2122</v>
      </c>
      <c r="C2219" s="41">
        <v>24205425</v>
      </c>
      <c r="D2219" s="41" t="s">
        <v>2487</v>
      </c>
      <c r="E2219" s="41" t="s">
        <v>35</v>
      </c>
      <c r="F2219" s="41" t="s">
        <v>2457</v>
      </c>
      <c r="G2219" s="41" t="s">
        <v>26</v>
      </c>
      <c r="H2219" s="42"/>
    </row>
    <row r="2220" spans="2:8" ht="18" customHeight="1" x14ac:dyDescent="0.25">
      <c r="B2220" s="40">
        <f>SUBTOTAL(3,C$4:C2220)</f>
        <v>2123</v>
      </c>
      <c r="C2220" s="41">
        <v>24020219</v>
      </c>
      <c r="D2220" s="41" t="s">
        <v>2490</v>
      </c>
      <c r="E2220" s="41" t="s">
        <v>35</v>
      </c>
      <c r="F2220" s="41" t="s">
        <v>2457</v>
      </c>
      <c r="G2220" s="41" t="s">
        <v>26</v>
      </c>
      <c r="H2220" s="42"/>
    </row>
    <row r="2221" spans="2:8" ht="18" customHeight="1" x14ac:dyDescent="0.25">
      <c r="B2221" s="40">
        <f>SUBTOTAL(3,C$4:C2221)</f>
        <v>2124</v>
      </c>
      <c r="C2221" s="41">
        <v>24033955</v>
      </c>
      <c r="D2221" s="41" t="s">
        <v>2492</v>
      </c>
      <c r="E2221" s="41" t="s">
        <v>35</v>
      </c>
      <c r="F2221" s="41" t="s">
        <v>2457</v>
      </c>
      <c r="G2221" s="41" t="s">
        <v>26</v>
      </c>
      <c r="H2221" s="42"/>
    </row>
    <row r="2222" spans="2:8" ht="18" customHeight="1" x14ac:dyDescent="0.25">
      <c r="B2222" s="40">
        <f>SUBTOTAL(3,C$4:C2222)</f>
        <v>2125</v>
      </c>
      <c r="C2222" s="41">
        <v>24027010</v>
      </c>
      <c r="D2222" s="41" t="s">
        <v>2498</v>
      </c>
      <c r="E2222" s="41" t="s">
        <v>35</v>
      </c>
      <c r="F2222" s="41" t="s">
        <v>2457</v>
      </c>
      <c r="G2222" s="41" t="s">
        <v>26</v>
      </c>
      <c r="H2222" s="42"/>
    </row>
    <row r="2223" spans="2:8" ht="18" customHeight="1" x14ac:dyDescent="0.25">
      <c r="B2223" s="40">
        <f>SUBTOTAL(3,C$4:C2223)</f>
        <v>2126</v>
      </c>
      <c r="C2223" s="41">
        <v>24023031</v>
      </c>
      <c r="D2223" s="41" t="s">
        <v>2500</v>
      </c>
      <c r="E2223" s="41" t="s">
        <v>35</v>
      </c>
      <c r="F2223" s="41" t="s">
        <v>2457</v>
      </c>
      <c r="G2223" s="41" t="s">
        <v>26</v>
      </c>
      <c r="H2223" s="42"/>
    </row>
    <row r="2224" spans="2:8" ht="18" customHeight="1" x14ac:dyDescent="0.25">
      <c r="B2224" s="40">
        <f>SUBTOTAL(3,C$4:C2224)</f>
        <v>2127</v>
      </c>
      <c r="C2224" s="41">
        <v>24030221</v>
      </c>
      <c r="D2224" s="41" t="s">
        <v>2503</v>
      </c>
      <c r="E2224" s="41" t="s">
        <v>35</v>
      </c>
      <c r="F2224" s="41" t="s">
        <v>2457</v>
      </c>
      <c r="G2224" s="41" t="s">
        <v>26</v>
      </c>
      <c r="H2224" s="42"/>
    </row>
    <row r="2225" spans="2:8" ht="18" customHeight="1" x14ac:dyDescent="0.25">
      <c r="B2225" s="40">
        <f>SUBTOTAL(3,C$4:C2225)</f>
        <v>2128</v>
      </c>
      <c r="C2225" s="41">
        <v>24025206</v>
      </c>
      <c r="D2225" s="41" t="s">
        <v>2504</v>
      </c>
      <c r="E2225" s="41" t="s">
        <v>35</v>
      </c>
      <c r="F2225" s="41" t="s">
        <v>2457</v>
      </c>
      <c r="G2225" s="41" t="s">
        <v>26</v>
      </c>
      <c r="H2225" s="42"/>
    </row>
    <row r="2226" spans="2:8" ht="18" customHeight="1" x14ac:dyDescent="0.25">
      <c r="B2226" s="40">
        <f>SUBTOTAL(3,C$4:C2226)</f>
        <v>2129</v>
      </c>
      <c r="C2226" s="41">
        <v>24030722</v>
      </c>
      <c r="D2226" s="41" t="s">
        <v>2509</v>
      </c>
      <c r="E2226" s="41" t="s">
        <v>35</v>
      </c>
      <c r="F2226" s="41" t="s">
        <v>2457</v>
      </c>
      <c r="G2226" s="41" t="s">
        <v>26</v>
      </c>
      <c r="H2226" s="42"/>
    </row>
    <row r="2227" spans="2:8" ht="18" customHeight="1" x14ac:dyDescent="0.25">
      <c r="B2227" s="40">
        <f>SUBTOTAL(3,C$4:C2227)</f>
        <v>2130</v>
      </c>
      <c r="C2227" s="41">
        <v>24026943</v>
      </c>
      <c r="D2227" s="41" t="s">
        <v>2511</v>
      </c>
      <c r="E2227" s="41" t="s">
        <v>35</v>
      </c>
      <c r="F2227" s="41" t="s">
        <v>2457</v>
      </c>
      <c r="G2227" s="41" t="s">
        <v>26</v>
      </c>
      <c r="H2227" s="42"/>
    </row>
    <row r="2228" spans="2:8" ht="18" customHeight="1" x14ac:dyDescent="0.25">
      <c r="B2228" s="40">
        <f>SUBTOTAL(3,C$4:C2228)</f>
        <v>2131</v>
      </c>
      <c r="C2228" s="41">
        <v>24035980</v>
      </c>
      <c r="D2228" s="41" t="s">
        <v>2512</v>
      </c>
      <c r="E2228" s="41" t="s">
        <v>35</v>
      </c>
      <c r="F2228" s="41" t="s">
        <v>2457</v>
      </c>
      <c r="G2228" s="41" t="s">
        <v>26</v>
      </c>
      <c r="H2228" s="42"/>
    </row>
    <row r="2229" spans="2:8" ht="18" customHeight="1" x14ac:dyDescent="0.25">
      <c r="B2229" s="40">
        <f>SUBTOTAL(3,C$4:C2229)</f>
        <v>2132</v>
      </c>
      <c r="C2229" s="41">
        <v>24032909</v>
      </c>
      <c r="D2229" s="41" t="s">
        <v>2514</v>
      </c>
      <c r="E2229" s="41" t="s">
        <v>35</v>
      </c>
      <c r="F2229" s="41" t="s">
        <v>2457</v>
      </c>
      <c r="G2229" s="41" t="s">
        <v>26</v>
      </c>
      <c r="H2229" s="42"/>
    </row>
    <row r="2230" spans="2:8" ht="18" customHeight="1" x14ac:dyDescent="0.25">
      <c r="B2230" s="40">
        <f>SUBTOTAL(3,C$4:C2230)</f>
        <v>2133</v>
      </c>
      <c r="C2230" s="41">
        <v>24030241</v>
      </c>
      <c r="D2230" s="41" t="s">
        <v>2517</v>
      </c>
      <c r="E2230" s="41" t="s">
        <v>35</v>
      </c>
      <c r="F2230" s="41" t="s">
        <v>2457</v>
      </c>
      <c r="G2230" s="41" t="s">
        <v>26</v>
      </c>
      <c r="H2230" s="42"/>
    </row>
    <row r="2231" spans="2:8" ht="18" customHeight="1" x14ac:dyDescent="0.25">
      <c r="B2231" s="40">
        <f>SUBTOTAL(3,C$4:C2231)</f>
        <v>2134</v>
      </c>
      <c r="C2231" s="41">
        <v>24025092</v>
      </c>
      <c r="D2231" s="41" t="s">
        <v>2521</v>
      </c>
      <c r="E2231" s="41" t="s">
        <v>35</v>
      </c>
      <c r="F2231" s="41" t="s">
        <v>2457</v>
      </c>
      <c r="G2231" s="41" t="s">
        <v>26</v>
      </c>
      <c r="H2231" s="42"/>
    </row>
    <row r="2232" spans="2:8" ht="18" customHeight="1" x14ac:dyDescent="0.25">
      <c r="B2232" s="40">
        <f>SUBTOTAL(3,C$4:C2232)</f>
        <v>2135</v>
      </c>
      <c r="C2232" s="41">
        <v>24033974</v>
      </c>
      <c r="D2232" s="41" t="s">
        <v>2523</v>
      </c>
      <c r="E2232" s="41" t="s">
        <v>35</v>
      </c>
      <c r="F2232" s="41" t="s">
        <v>2457</v>
      </c>
      <c r="G2232" s="41" t="s">
        <v>26</v>
      </c>
      <c r="H2232" s="42"/>
    </row>
    <row r="2233" spans="2:8" ht="18" customHeight="1" x14ac:dyDescent="0.25">
      <c r="B2233" s="40">
        <f>SUBTOTAL(3,C$4:C2233)</f>
        <v>2136</v>
      </c>
      <c r="C2233" s="41">
        <v>24280472</v>
      </c>
      <c r="D2233" s="41" t="s">
        <v>2534</v>
      </c>
      <c r="E2233" s="41" t="s">
        <v>35</v>
      </c>
      <c r="F2233" s="41" t="s">
        <v>2457</v>
      </c>
      <c r="G2233" s="41" t="s">
        <v>26</v>
      </c>
      <c r="H2233" s="42"/>
    </row>
    <row r="2234" spans="2:8" ht="18" customHeight="1" x14ac:dyDescent="0.25">
      <c r="B2234" s="40">
        <f>SUBTOTAL(3,C$4:C2234)</f>
        <v>2137</v>
      </c>
      <c r="C2234" s="41">
        <v>24274156</v>
      </c>
      <c r="D2234" s="41" t="s">
        <v>2538</v>
      </c>
      <c r="E2234" s="41" t="s">
        <v>35</v>
      </c>
      <c r="F2234" s="41" t="s">
        <v>2457</v>
      </c>
      <c r="G2234" s="41" t="s">
        <v>26</v>
      </c>
      <c r="H2234" s="42"/>
    </row>
    <row r="2235" spans="2:8" ht="18" customHeight="1" x14ac:dyDescent="0.25">
      <c r="B2235" s="40">
        <f>SUBTOTAL(3,C$4:C2235)</f>
        <v>2138</v>
      </c>
      <c r="C2235" s="41">
        <v>24021589</v>
      </c>
      <c r="D2235" s="41" t="s">
        <v>2545</v>
      </c>
      <c r="E2235" s="41" t="s">
        <v>35</v>
      </c>
      <c r="F2235" s="41" t="s">
        <v>2457</v>
      </c>
      <c r="G2235" s="41" t="s">
        <v>26</v>
      </c>
      <c r="H2235" s="42"/>
    </row>
    <row r="2236" spans="2:8" ht="18" customHeight="1" x14ac:dyDescent="0.25">
      <c r="B2236" s="40">
        <f>SUBTOTAL(3,C$4:C2236)</f>
        <v>2139</v>
      </c>
      <c r="C2236" s="41">
        <v>24036298</v>
      </c>
      <c r="D2236" s="41" t="s">
        <v>1449</v>
      </c>
      <c r="E2236" s="41" t="s">
        <v>35</v>
      </c>
      <c r="F2236" s="41" t="s">
        <v>2457</v>
      </c>
      <c r="G2236" s="41" t="s">
        <v>26</v>
      </c>
      <c r="H2236" s="42"/>
    </row>
    <row r="2237" spans="2:8" ht="18" customHeight="1" x14ac:dyDescent="0.25">
      <c r="B2237" s="40">
        <f>SUBTOTAL(3,C$4:C2237)</f>
        <v>2140</v>
      </c>
      <c r="C2237" s="41">
        <v>24023026</v>
      </c>
      <c r="D2237" s="41" t="s">
        <v>2547</v>
      </c>
      <c r="E2237" s="41" t="s">
        <v>35</v>
      </c>
      <c r="F2237" s="41" t="s">
        <v>2457</v>
      </c>
      <c r="G2237" s="41" t="s">
        <v>24</v>
      </c>
      <c r="H2237" s="42"/>
    </row>
    <row r="2238" spans="2:8" ht="18" customHeight="1" x14ac:dyDescent="0.25">
      <c r="B2238" s="40">
        <f>SUBTOTAL(3,C$4:C2238)</f>
        <v>2141</v>
      </c>
      <c r="C2238" s="41">
        <v>24022693</v>
      </c>
      <c r="D2238" s="41" t="s">
        <v>2550</v>
      </c>
      <c r="E2238" s="41" t="s">
        <v>35</v>
      </c>
      <c r="F2238" s="41" t="s">
        <v>2457</v>
      </c>
      <c r="G2238" s="41" t="s">
        <v>26</v>
      </c>
      <c r="H2238" s="42"/>
    </row>
    <row r="2239" spans="2:8" ht="18" customHeight="1" x14ac:dyDescent="0.25">
      <c r="B2239" s="40">
        <f>SUBTOTAL(3,C$4:C2239)</f>
        <v>2142</v>
      </c>
      <c r="C2239" s="41">
        <v>24028704</v>
      </c>
      <c r="D2239" s="41" t="s">
        <v>2552</v>
      </c>
      <c r="E2239" s="41" t="s">
        <v>35</v>
      </c>
      <c r="F2239" s="41" t="s">
        <v>2457</v>
      </c>
      <c r="G2239" s="41" t="s">
        <v>26</v>
      </c>
      <c r="H2239" s="42"/>
    </row>
    <row r="2240" spans="2:8" ht="18" customHeight="1" x14ac:dyDescent="0.25">
      <c r="B2240" s="40">
        <f>SUBTOTAL(3,C$4:C2240)</f>
        <v>2143</v>
      </c>
      <c r="C2240" s="41">
        <v>24034797</v>
      </c>
      <c r="D2240" s="41" t="s">
        <v>2555</v>
      </c>
      <c r="E2240" s="41" t="s">
        <v>35</v>
      </c>
      <c r="F2240" s="41" t="s">
        <v>2457</v>
      </c>
      <c r="G2240" s="41" t="s">
        <v>24</v>
      </c>
      <c r="H2240" s="42"/>
    </row>
    <row r="2241" spans="2:8" ht="18" customHeight="1" x14ac:dyDescent="0.25">
      <c r="B2241" s="40">
        <f>SUBTOTAL(3,C$4:C2241)</f>
        <v>2144</v>
      </c>
      <c r="C2241" s="41">
        <v>24120446</v>
      </c>
      <c r="D2241" s="41" t="s">
        <v>2556</v>
      </c>
      <c r="E2241" s="41" t="s">
        <v>35</v>
      </c>
      <c r="F2241" s="41" t="s">
        <v>2457</v>
      </c>
      <c r="G2241" s="41" t="s">
        <v>26</v>
      </c>
      <c r="H2241" s="42"/>
    </row>
    <row r="2242" spans="2:8" ht="18" customHeight="1" x14ac:dyDescent="0.25">
      <c r="B2242" s="40">
        <f>SUBTOTAL(3,C$4:C2242)</f>
        <v>2145</v>
      </c>
      <c r="C2242" s="41">
        <v>24031002</v>
      </c>
      <c r="D2242" s="41" t="s">
        <v>2557</v>
      </c>
      <c r="E2242" s="41" t="s">
        <v>35</v>
      </c>
      <c r="F2242" s="41" t="s">
        <v>2457</v>
      </c>
      <c r="G2242" s="41" t="s">
        <v>26</v>
      </c>
      <c r="H2242" s="42"/>
    </row>
    <row r="2243" spans="2:8" ht="18" customHeight="1" x14ac:dyDescent="0.25">
      <c r="B2243" s="40">
        <f>SUBTOTAL(3,C$4:C2243)</f>
        <v>2146</v>
      </c>
      <c r="C2243" s="41">
        <v>24225319</v>
      </c>
      <c r="D2243" s="41" t="s">
        <v>2563</v>
      </c>
      <c r="E2243" s="41" t="s">
        <v>35</v>
      </c>
      <c r="F2243" s="41" t="s">
        <v>2457</v>
      </c>
      <c r="G2243" s="41" t="s">
        <v>26</v>
      </c>
      <c r="H2243" s="42"/>
    </row>
    <row r="2244" spans="2:8" ht="18" customHeight="1" x14ac:dyDescent="0.25">
      <c r="B2244" s="40">
        <f>SUBTOTAL(3,C$4:C2244)</f>
        <v>2147</v>
      </c>
      <c r="C2244" s="41">
        <v>24032172</v>
      </c>
      <c r="D2244" s="41" t="s">
        <v>2567</v>
      </c>
      <c r="E2244" s="41" t="s">
        <v>35</v>
      </c>
      <c r="F2244" s="41" t="s">
        <v>2457</v>
      </c>
      <c r="G2244" s="41" t="s">
        <v>26</v>
      </c>
      <c r="H2244" s="42"/>
    </row>
    <row r="2245" spans="2:8" ht="18" customHeight="1" x14ac:dyDescent="0.25">
      <c r="B2245" s="40">
        <f>SUBTOTAL(3,C$4:C2245)</f>
        <v>2148</v>
      </c>
      <c r="C2245" s="41">
        <v>24025744</v>
      </c>
      <c r="D2245" s="41" t="s">
        <v>2570</v>
      </c>
      <c r="E2245" s="41" t="s">
        <v>35</v>
      </c>
      <c r="F2245" s="41" t="s">
        <v>2457</v>
      </c>
      <c r="G2245" s="41" t="s">
        <v>26</v>
      </c>
      <c r="H2245" s="42"/>
    </row>
    <row r="2246" spans="2:8" ht="18" customHeight="1" x14ac:dyDescent="0.25">
      <c r="B2246" s="40">
        <f>SUBTOTAL(3,C$4:C2246)</f>
        <v>2149</v>
      </c>
      <c r="C2246" s="41">
        <v>24023916</v>
      </c>
      <c r="D2246" s="41" t="s">
        <v>2571</v>
      </c>
      <c r="E2246" s="41" t="s">
        <v>35</v>
      </c>
      <c r="F2246" s="41" t="s">
        <v>2457</v>
      </c>
      <c r="G2246" s="41" t="s">
        <v>26</v>
      </c>
      <c r="H2246" s="42"/>
    </row>
    <row r="2247" spans="2:8" ht="18" customHeight="1" x14ac:dyDescent="0.25">
      <c r="B2247" s="40">
        <f>SUBTOTAL(3,C$4:C2247)</f>
        <v>2150</v>
      </c>
      <c r="C2247" s="41">
        <v>24070011</v>
      </c>
      <c r="D2247" s="41" t="s">
        <v>2574</v>
      </c>
      <c r="E2247" s="41" t="s">
        <v>35</v>
      </c>
      <c r="F2247" s="41" t="s">
        <v>2457</v>
      </c>
      <c r="G2247" s="41" t="s">
        <v>26</v>
      </c>
      <c r="H2247" s="42"/>
    </row>
    <row r="2248" spans="2:8" ht="18" customHeight="1" x14ac:dyDescent="0.25">
      <c r="B2248" s="40">
        <f>SUBTOTAL(3,C$4:C2248)</f>
        <v>2151</v>
      </c>
      <c r="C2248" s="41">
        <v>24030463</v>
      </c>
      <c r="D2248" s="41" t="s">
        <v>2576</v>
      </c>
      <c r="E2248" s="41" t="s">
        <v>35</v>
      </c>
      <c r="F2248" s="41" t="s">
        <v>2457</v>
      </c>
      <c r="G2248" s="41" t="s">
        <v>26</v>
      </c>
      <c r="H2248" s="42"/>
    </row>
    <row r="2249" spans="2:8" ht="18" customHeight="1" x14ac:dyDescent="0.25">
      <c r="B2249" s="40">
        <f>SUBTOTAL(3,C$4:C2249)</f>
        <v>2152</v>
      </c>
      <c r="C2249" s="41">
        <v>24024242</v>
      </c>
      <c r="D2249" s="41" t="s">
        <v>2577</v>
      </c>
      <c r="E2249" s="41" t="s">
        <v>35</v>
      </c>
      <c r="F2249" s="41" t="s">
        <v>2457</v>
      </c>
      <c r="G2249" s="41" t="s">
        <v>26</v>
      </c>
      <c r="H2249" s="42"/>
    </row>
    <row r="2250" spans="2:8" ht="18" customHeight="1" x14ac:dyDescent="0.25">
      <c r="B2250" s="40">
        <f>SUBTOTAL(3,C$4:C2250)</f>
        <v>2153</v>
      </c>
      <c r="C2250" s="41">
        <v>24020830</v>
      </c>
      <c r="D2250" s="41" t="s">
        <v>2581</v>
      </c>
      <c r="E2250" s="41" t="s">
        <v>35</v>
      </c>
      <c r="F2250" s="41" t="s">
        <v>2457</v>
      </c>
      <c r="G2250" s="41" t="s">
        <v>26</v>
      </c>
      <c r="H2250" s="42"/>
    </row>
    <row r="2251" spans="2:8" ht="18" customHeight="1" x14ac:dyDescent="0.25">
      <c r="B2251" s="40">
        <f>SUBTOTAL(3,C$4:C2251)</f>
        <v>2154</v>
      </c>
      <c r="C2251" s="41">
        <v>24037386</v>
      </c>
      <c r="D2251" s="41" t="s">
        <v>2584</v>
      </c>
      <c r="E2251" s="41" t="s">
        <v>35</v>
      </c>
      <c r="F2251" s="41" t="s">
        <v>2457</v>
      </c>
      <c r="G2251" s="41" t="s">
        <v>24</v>
      </c>
      <c r="H2251" s="42"/>
    </row>
    <row r="2252" spans="2:8" ht="18" customHeight="1" x14ac:dyDescent="0.25">
      <c r="B2252" s="40">
        <f>SUBTOTAL(3,C$4:C2252)</f>
        <v>2155</v>
      </c>
      <c r="C2252" s="41">
        <v>24022952</v>
      </c>
      <c r="D2252" s="41" t="s">
        <v>2586</v>
      </c>
      <c r="E2252" s="41" t="s">
        <v>35</v>
      </c>
      <c r="F2252" s="41" t="s">
        <v>2457</v>
      </c>
      <c r="G2252" s="41" t="s">
        <v>26</v>
      </c>
      <c r="H2252" s="42"/>
    </row>
    <row r="2253" spans="2:8" ht="18" customHeight="1" x14ac:dyDescent="0.25">
      <c r="B2253" s="40">
        <f>SUBTOTAL(3,C$4:C2253)</f>
        <v>2156</v>
      </c>
      <c r="C2253" s="41">
        <v>24038123</v>
      </c>
      <c r="D2253" s="41" t="s">
        <v>2588</v>
      </c>
      <c r="E2253" s="41" t="s">
        <v>35</v>
      </c>
      <c r="F2253" s="41" t="s">
        <v>2457</v>
      </c>
      <c r="G2253" s="41" t="s">
        <v>26</v>
      </c>
      <c r="H2253" s="42"/>
    </row>
    <row r="2254" spans="2:8" ht="18" customHeight="1" x14ac:dyDescent="0.25">
      <c r="B2254" s="40">
        <f>SUBTOTAL(3,C$4:C2254)</f>
        <v>2157</v>
      </c>
      <c r="C2254" s="41">
        <v>24038147</v>
      </c>
      <c r="D2254" s="41" t="s">
        <v>2595</v>
      </c>
      <c r="E2254" s="41" t="s">
        <v>35</v>
      </c>
      <c r="F2254" s="41" t="s">
        <v>2457</v>
      </c>
      <c r="G2254" s="41" t="s">
        <v>26</v>
      </c>
      <c r="H2254" s="42"/>
    </row>
    <row r="2255" spans="2:8" ht="18" customHeight="1" x14ac:dyDescent="0.25">
      <c r="B2255" s="40">
        <f>SUBTOTAL(3,C$4:C2255)</f>
        <v>2158</v>
      </c>
      <c r="C2255" s="41">
        <v>24021055</v>
      </c>
      <c r="D2255" s="41" t="s">
        <v>2597</v>
      </c>
      <c r="E2255" s="41" t="s">
        <v>35</v>
      </c>
      <c r="F2255" s="41" t="s">
        <v>2457</v>
      </c>
      <c r="G2255" s="41" t="s">
        <v>26</v>
      </c>
      <c r="H2255" s="42"/>
    </row>
    <row r="2256" spans="2:8" ht="18" customHeight="1" x14ac:dyDescent="0.25">
      <c r="B2256" s="40">
        <f>SUBTOTAL(3,C$4:C2256)</f>
        <v>2159</v>
      </c>
      <c r="C2256" s="41">
        <v>24027038</v>
      </c>
      <c r="D2256" s="41" t="s">
        <v>2598</v>
      </c>
      <c r="E2256" s="41" t="s">
        <v>35</v>
      </c>
      <c r="F2256" s="41" t="s">
        <v>2457</v>
      </c>
      <c r="G2256" s="41" t="s">
        <v>26</v>
      </c>
      <c r="H2256" s="42"/>
    </row>
    <row r="2257" spans="2:8" ht="18" customHeight="1" x14ac:dyDescent="0.25">
      <c r="B2257" s="40">
        <f>SUBTOTAL(3,C$4:C2257)</f>
        <v>2160</v>
      </c>
      <c r="C2257" s="41">
        <v>24034348</v>
      </c>
      <c r="D2257" s="41" t="s">
        <v>2599</v>
      </c>
      <c r="E2257" s="41" t="s">
        <v>35</v>
      </c>
      <c r="F2257" s="41" t="s">
        <v>2457</v>
      </c>
      <c r="G2257" s="41" t="s">
        <v>26</v>
      </c>
      <c r="H2257" s="42"/>
    </row>
    <row r="2258" spans="2:8" ht="18" customHeight="1" x14ac:dyDescent="0.25">
      <c r="B2258" s="40">
        <f>SUBTOTAL(3,C$4:C2258)</f>
        <v>2161</v>
      </c>
      <c r="C2258" s="41">
        <v>24020204</v>
      </c>
      <c r="D2258" s="41" t="s">
        <v>2604</v>
      </c>
      <c r="E2258" s="41" t="s">
        <v>35</v>
      </c>
      <c r="F2258" s="41" t="s">
        <v>2457</v>
      </c>
      <c r="G2258" s="41" t="s">
        <v>26</v>
      </c>
      <c r="H2258" s="42"/>
    </row>
    <row r="2259" spans="2:8" ht="18" customHeight="1" x14ac:dyDescent="0.25">
      <c r="B2259" s="40">
        <f>SUBTOTAL(3,C$4:C2259)</f>
        <v>2162</v>
      </c>
      <c r="C2259" s="41">
        <v>24028924</v>
      </c>
      <c r="D2259" s="41" t="s">
        <v>2605</v>
      </c>
      <c r="E2259" s="41" t="s">
        <v>35</v>
      </c>
      <c r="F2259" s="41" t="s">
        <v>2457</v>
      </c>
      <c r="G2259" s="41" t="s">
        <v>26</v>
      </c>
      <c r="H2259" s="42"/>
    </row>
    <row r="2260" spans="2:8" ht="18" customHeight="1" x14ac:dyDescent="0.25">
      <c r="B2260" s="40">
        <f>SUBTOTAL(3,C$4:C2260)</f>
        <v>2163</v>
      </c>
      <c r="C2260" s="41">
        <v>24035396</v>
      </c>
      <c r="D2260" s="41" t="s">
        <v>2606</v>
      </c>
      <c r="E2260" s="41" t="s">
        <v>35</v>
      </c>
      <c r="F2260" s="41" t="s">
        <v>2457</v>
      </c>
      <c r="G2260" s="41" t="s">
        <v>26</v>
      </c>
      <c r="H2260" s="42"/>
    </row>
    <row r="2261" spans="2:8" ht="18" customHeight="1" x14ac:dyDescent="0.25">
      <c r="B2261" s="40">
        <f>SUBTOTAL(3,C$4:C2261)</f>
        <v>2164</v>
      </c>
      <c r="C2261" s="41">
        <v>24022787</v>
      </c>
      <c r="D2261" s="41" t="s">
        <v>2609</v>
      </c>
      <c r="E2261" s="41" t="s">
        <v>35</v>
      </c>
      <c r="F2261" s="41" t="s">
        <v>2457</v>
      </c>
      <c r="G2261" s="41" t="s">
        <v>24</v>
      </c>
      <c r="H2261" s="42"/>
    </row>
    <row r="2262" spans="2:8" ht="18" customHeight="1" x14ac:dyDescent="0.25">
      <c r="B2262" s="40">
        <f>SUBTOTAL(3,C$4:C2262)</f>
        <v>2165</v>
      </c>
      <c r="C2262" s="41">
        <v>24027806</v>
      </c>
      <c r="D2262" s="41" t="s">
        <v>2618</v>
      </c>
      <c r="E2262" s="41" t="s">
        <v>35</v>
      </c>
      <c r="F2262" s="41" t="s">
        <v>2457</v>
      </c>
      <c r="G2262" s="41" t="s">
        <v>26</v>
      </c>
      <c r="H2262" s="42"/>
    </row>
    <row r="2263" spans="2:8" ht="18" customHeight="1" x14ac:dyDescent="0.25">
      <c r="B2263" s="40">
        <f>SUBTOTAL(3,C$4:C2263)</f>
        <v>2166</v>
      </c>
      <c r="C2263" s="41">
        <v>24033849</v>
      </c>
      <c r="D2263" s="41" t="s">
        <v>2620</v>
      </c>
      <c r="E2263" s="41" t="s">
        <v>35</v>
      </c>
      <c r="F2263" s="41" t="s">
        <v>2457</v>
      </c>
      <c r="G2263" s="41" t="s">
        <v>26</v>
      </c>
      <c r="H2263" s="42"/>
    </row>
    <row r="2264" spans="2:8" ht="18" customHeight="1" x14ac:dyDescent="0.25">
      <c r="B2264" s="40">
        <f>SUBTOTAL(3,C$4:C2264)</f>
        <v>2167</v>
      </c>
      <c r="C2264" s="41">
        <v>24170930</v>
      </c>
      <c r="D2264" s="41" t="s">
        <v>2621</v>
      </c>
      <c r="E2264" s="41" t="s">
        <v>35</v>
      </c>
      <c r="F2264" s="41" t="s">
        <v>2457</v>
      </c>
      <c r="G2264" s="41" t="s">
        <v>26</v>
      </c>
      <c r="H2264" s="42"/>
    </row>
    <row r="2265" spans="2:8" ht="18" customHeight="1" x14ac:dyDescent="0.25">
      <c r="B2265" s="40">
        <f>SUBTOTAL(3,C$4:C2265)</f>
        <v>2168</v>
      </c>
      <c r="C2265" s="41">
        <v>24028613</v>
      </c>
      <c r="D2265" s="41" t="s">
        <v>2623</v>
      </c>
      <c r="E2265" s="41" t="s">
        <v>35</v>
      </c>
      <c r="F2265" s="41" t="s">
        <v>2457</v>
      </c>
      <c r="G2265" s="41" t="s">
        <v>26</v>
      </c>
      <c r="H2265" s="42"/>
    </row>
    <row r="2266" spans="2:8" ht="18" customHeight="1" x14ac:dyDescent="0.25">
      <c r="B2266" s="40">
        <f>SUBTOTAL(3,C$4:C2266)</f>
        <v>2169</v>
      </c>
      <c r="C2266" s="41">
        <v>24020218</v>
      </c>
      <c r="D2266" s="41" t="s">
        <v>2631</v>
      </c>
      <c r="E2266" s="41" t="s">
        <v>35</v>
      </c>
      <c r="F2266" s="41" t="s">
        <v>2457</v>
      </c>
      <c r="G2266" s="41" t="s">
        <v>26</v>
      </c>
      <c r="H2266" s="42"/>
    </row>
    <row r="2267" spans="2:8" ht="18" customHeight="1" x14ac:dyDescent="0.25">
      <c r="B2267" s="40">
        <f>SUBTOTAL(3,C$4:C2267)</f>
        <v>2170</v>
      </c>
      <c r="C2267" s="41">
        <v>24027880</v>
      </c>
      <c r="D2267" s="41" t="s">
        <v>2635</v>
      </c>
      <c r="E2267" s="41" t="s">
        <v>35</v>
      </c>
      <c r="F2267" s="41" t="s">
        <v>2457</v>
      </c>
      <c r="G2267" s="41" t="s">
        <v>26</v>
      </c>
      <c r="H2267" s="42"/>
    </row>
    <row r="2268" spans="2:8" ht="18" customHeight="1" x14ac:dyDescent="0.25">
      <c r="B2268" s="40">
        <f>SUBTOTAL(3,C$4:C2268)</f>
        <v>2171</v>
      </c>
      <c r="C2268" s="41">
        <v>24023644</v>
      </c>
      <c r="D2268" s="41" t="s">
        <v>2639</v>
      </c>
      <c r="E2268" s="41" t="s">
        <v>35</v>
      </c>
      <c r="F2268" s="41" t="s">
        <v>2457</v>
      </c>
      <c r="G2268" s="41" t="s">
        <v>26</v>
      </c>
      <c r="H2268" s="42"/>
    </row>
    <row r="2269" spans="2:8" ht="18" customHeight="1" x14ac:dyDescent="0.25">
      <c r="B2269" s="40">
        <f>SUBTOTAL(3,C$4:C2269)</f>
        <v>2172</v>
      </c>
      <c r="C2269" s="41">
        <v>24021336</v>
      </c>
      <c r="D2269" s="41" t="s">
        <v>2539</v>
      </c>
      <c r="E2269" s="41" t="s">
        <v>35</v>
      </c>
      <c r="F2269" s="41" t="s">
        <v>2540</v>
      </c>
      <c r="G2269" s="41" t="s">
        <v>24</v>
      </c>
      <c r="H2269" s="42"/>
    </row>
    <row r="2270" spans="2:8" ht="18" customHeight="1" x14ac:dyDescent="0.25">
      <c r="B2270" s="40">
        <f>SUBTOTAL(3,C$4:C2270)</f>
        <v>2173</v>
      </c>
      <c r="C2270" s="41">
        <v>24021401</v>
      </c>
      <c r="D2270" s="41" t="s">
        <v>2612</v>
      </c>
      <c r="E2270" s="41" t="s">
        <v>35</v>
      </c>
      <c r="F2270" s="41" t="s">
        <v>2540</v>
      </c>
      <c r="G2270" s="41" t="s">
        <v>24</v>
      </c>
      <c r="H2270" s="42"/>
    </row>
    <row r="2271" spans="2:8" ht="18" customHeight="1" x14ac:dyDescent="0.25">
      <c r="B2271" s="40">
        <f>SUBTOTAL(3,C$4:C2271)</f>
        <v>2174</v>
      </c>
      <c r="C2271" s="41">
        <v>24032277</v>
      </c>
      <c r="D2271" s="41" t="s">
        <v>2493</v>
      </c>
      <c r="E2271" s="41" t="s">
        <v>35</v>
      </c>
      <c r="F2271" s="41" t="s">
        <v>2494</v>
      </c>
      <c r="G2271" s="41" t="s">
        <v>26</v>
      </c>
      <c r="H2271" s="42"/>
    </row>
    <row r="2272" spans="2:8" ht="18" customHeight="1" x14ac:dyDescent="0.25">
      <c r="B2272" s="40">
        <f>SUBTOTAL(3,C$4:C2272)</f>
        <v>2175</v>
      </c>
      <c r="C2272" s="41">
        <v>24038106</v>
      </c>
      <c r="D2272" s="41" t="s">
        <v>2520</v>
      </c>
      <c r="E2272" s="41" t="s">
        <v>35</v>
      </c>
      <c r="F2272" s="41" t="s">
        <v>2494</v>
      </c>
      <c r="G2272" s="41" t="s">
        <v>26</v>
      </c>
      <c r="H2272" s="42"/>
    </row>
    <row r="2273" spans="2:8" ht="18" customHeight="1" x14ac:dyDescent="0.25">
      <c r="B2273" s="40">
        <f>SUBTOTAL(3,C$4:C2273)</f>
        <v>2176</v>
      </c>
      <c r="C2273" s="41">
        <v>24022329</v>
      </c>
      <c r="D2273" s="41" t="s">
        <v>2578</v>
      </c>
      <c r="E2273" s="41" t="s">
        <v>35</v>
      </c>
      <c r="F2273" s="41" t="s">
        <v>2494</v>
      </c>
      <c r="G2273" s="41" t="s">
        <v>26</v>
      </c>
      <c r="H2273" s="42" t="s">
        <v>2579</v>
      </c>
    </row>
    <row r="2274" spans="2:8" ht="18" customHeight="1" x14ac:dyDescent="0.25">
      <c r="B2274" s="40">
        <f>SUBTOTAL(3,C$4:C2274)</f>
        <v>2177</v>
      </c>
      <c r="C2274" s="41">
        <v>24038109</v>
      </c>
      <c r="D2274" s="41" t="s">
        <v>2582</v>
      </c>
      <c r="E2274" s="41" t="s">
        <v>35</v>
      </c>
      <c r="F2274" s="41" t="s">
        <v>2494</v>
      </c>
      <c r="G2274" s="41" t="s">
        <v>26</v>
      </c>
      <c r="H2274" s="42"/>
    </row>
    <row r="2275" spans="2:8" ht="18" customHeight="1" x14ac:dyDescent="0.25">
      <c r="B2275" s="40">
        <f>SUBTOTAL(3,C$4:C2275)</f>
        <v>2178</v>
      </c>
      <c r="C2275" s="41">
        <v>24032656</v>
      </c>
      <c r="D2275" s="41" t="s">
        <v>2619</v>
      </c>
      <c r="E2275" s="41" t="s">
        <v>35</v>
      </c>
      <c r="F2275" s="41" t="s">
        <v>2494</v>
      </c>
      <c r="G2275" s="41" t="s">
        <v>26</v>
      </c>
      <c r="H2275" s="42"/>
    </row>
    <row r="2276" spans="2:8" ht="18" customHeight="1" x14ac:dyDescent="0.25">
      <c r="B2276" s="40">
        <f>SUBTOTAL(3,C$4:C2276)</f>
        <v>2179</v>
      </c>
      <c r="C2276" s="41">
        <v>240249957</v>
      </c>
      <c r="D2276" s="41" t="s">
        <v>2629</v>
      </c>
      <c r="E2276" s="41" t="s">
        <v>35</v>
      </c>
      <c r="F2276" s="41" t="s">
        <v>2494</v>
      </c>
      <c r="G2276" s="41" t="s">
        <v>26</v>
      </c>
      <c r="H2276" s="42"/>
    </row>
    <row r="2277" spans="2:8" ht="18" customHeight="1" x14ac:dyDescent="0.25">
      <c r="B2277" s="40">
        <f>SUBTOTAL(3,C$4:C2277)</f>
        <v>2180</v>
      </c>
      <c r="C2277" s="41">
        <v>24034702</v>
      </c>
      <c r="D2277" s="41" t="s">
        <v>2638</v>
      </c>
      <c r="E2277" s="41" t="s">
        <v>35</v>
      </c>
      <c r="F2277" s="41" t="s">
        <v>2494</v>
      </c>
      <c r="G2277" s="41" t="s">
        <v>26</v>
      </c>
      <c r="H2277" s="42"/>
    </row>
    <row r="2278" spans="2:8" ht="18" customHeight="1" x14ac:dyDescent="0.25">
      <c r="B2278" s="40">
        <f>SUBTOTAL(3,C$4:C2278)</f>
        <v>2181</v>
      </c>
      <c r="C2278" s="41">
        <v>24025849</v>
      </c>
      <c r="D2278" s="41" t="s">
        <v>2458</v>
      </c>
      <c r="E2278" s="41" t="s">
        <v>35</v>
      </c>
      <c r="F2278" s="41" t="s">
        <v>2459</v>
      </c>
      <c r="G2278" s="41" t="s">
        <v>24</v>
      </c>
      <c r="H2278" s="42"/>
    </row>
    <row r="2279" spans="2:8" ht="18" customHeight="1" x14ac:dyDescent="0.25">
      <c r="B2279" s="40">
        <f>SUBTOTAL(3,C$4:C2279)</f>
        <v>2182</v>
      </c>
      <c r="C2279" s="41">
        <v>24020184</v>
      </c>
      <c r="D2279" s="41" t="s">
        <v>2524</v>
      </c>
      <c r="E2279" s="41" t="s">
        <v>35</v>
      </c>
      <c r="F2279" s="41" t="s">
        <v>2459</v>
      </c>
      <c r="G2279" s="41" t="s">
        <v>24</v>
      </c>
      <c r="H2279" s="42"/>
    </row>
    <row r="2280" spans="2:8" ht="18" customHeight="1" x14ac:dyDescent="0.25">
      <c r="B2280" s="40">
        <f>SUBTOTAL(3,C$4:C2280)</f>
        <v>2183</v>
      </c>
      <c r="C2280" s="41">
        <v>24020661</v>
      </c>
      <c r="D2280" s="41" t="s">
        <v>2541</v>
      </c>
      <c r="E2280" s="41" t="s">
        <v>35</v>
      </c>
      <c r="F2280" s="41" t="s">
        <v>2459</v>
      </c>
      <c r="G2280" s="41" t="s">
        <v>24</v>
      </c>
      <c r="H2280" s="42"/>
    </row>
    <row r="2281" spans="2:8" ht="18" customHeight="1" x14ac:dyDescent="0.25">
      <c r="B2281" s="40">
        <f>SUBTOTAL(3,C$4:C2281)</f>
        <v>2184</v>
      </c>
      <c r="C2281" s="41">
        <v>24036186</v>
      </c>
      <c r="D2281" s="41" t="s">
        <v>2542</v>
      </c>
      <c r="E2281" s="41" t="s">
        <v>35</v>
      </c>
      <c r="F2281" s="41" t="s">
        <v>2459</v>
      </c>
      <c r="G2281" s="41" t="s">
        <v>24</v>
      </c>
      <c r="H2281" s="42"/>
    </row>
    <row r="2282" spans="2:8" ht="18" customHeight="1" x14ac:dyDescent="0.25">
      <c r="B2282" s="40">
        <f>SUBTOTAL(3,C$4:C2282)</f>
        <v>2185</v>
      </c>
      <c r="C2282" s="41">
        <v>24035618</v>
      </c>
      <c r="D2282" s="41" t="s">
        <v>2551</v>
      </c>
      <c r="E2282" s="41" t="s">
        <v>35</v>
      </c>
      <c r="F2282" s="41" t="s">
        <v>2459</v>
      </c>
      <c r="G2282" s="41" t="s">
        <v>24</v>
      </c>
      <c r="H2282" s="42"/>
    </row>
    <row r="2283" spans="2:8" ht="18" customHeight="1" x14ac:dyDescent="0.25">
      <c r="B2283" s="40">
        <f>SUBTOTAL(3,C$4:C2283)</f>
        <v>2186</v>
      </c>
      <c r="C2283" s="41">
        <v>24027656</v>
      </c>
      <c r="D2283" s="41" t="s">
        <v>2589</v>
      </c>
      <c r="E2283" s="41" t="s">
        <v>35</v>
      </c>
      <c r="F2283" s="41" t="s">
        <v>2459</v>
      </c>
      <c r="G2283" s="41" t="s">
        <v>24</v>
      </c>
      <c r="H2283" s="42"/>
    </row>
    <row r="2284" spans="2:8" ht="18" customHeight="1" x14ac:dyDescent="0.25">
      <c r="B2284" s="40">
        <f>SUBTOTAL(3,C$4:C2284)</f>
        <v>2187</v>
      </c>
      <c r="C2284" s="41">
        <v>24027650</v>
      </c>
      <c r="D2284" s="41" t="s">
        <v>2601</v>
      </c>
      <c r="E2284" s="41" t="s">
        <v>35</v>
      </c>
      <c r="F2284" s="41" t="s">
        <v>2459</v>
      </c>
      <c r="G2284" s="41" t="s">
        <v>24</v>
      </c>
      <c r="H2284" s="42"/>
    </row>
    <row r="2285" spans="2:8" ht="18" customHeight="1" x14ac:dyDescent="0.25">
      <c r="B2285" s="40">
        <f>SUBTOTAL(3,C$4:C2285)</f>
        <v>2188</v>
      </c>
      <c r="C2285" s="41">
        <v>24035562</v>
      </c>
      <c r="D2285" s="41" t="s">
        <v>1761</v>
      </c>
      <c r="E2285" s="41" t="s">
        <v>35</v>
      </c>
      <c r="F2285" s="41" t="s">
        <v>2459</v>
      </c>
      <c r="G2285" s="41" t="s">
        <v>24</v>
      </c>
      <c r="H2285" s="42"/>
    </row>
    <row r="2286" spans="2:8" ht="18" customHeight="1" x14ac:dyDescent="0.25">
      <c r="B2286" s="40">
        <f>SUBTOTAL(3,C$4:C2286)</f>
        <v>2189</v>
      </c>
      <c r="C2286" s="41">
        <v>24033962</v>
      </c>
      <c r="D2286" s="41" t="s">
        <v>2480</v>
      </c>
      <c r="E2286" s="41" t="s">
        <v>35</v>
      </c>
      <c r="F2286" s="41" t="s">
        <v>2481</v>
      </c>
      <c r="G2286" s="41" t="s">
        <v>26</v>
      </c>
      <c r="H2286" s="42"/>
    </row>
    <row r="2287" spans="2:8" ht="18" customHeight="1" x14ac:dyDescent="0.25">
      <c r="B2287" s="40">
        <f>SUBTOTAL(3,C$4:C2287)</f>
        <v>2190</v>
      </c>
      <c r="C2287" s="41">
        <v>24038064</v>
      </c>
      <c r="D2287" s="41" t="s">
        <v>2484</v>
      </c>
      <c r="E2287" s="41" t="s">
        <v>35</v>
      </c>
      <c r="F2287" s="41" t="s">
        <v>2481</v>
      </c>
      <c r="G2287" s="41" t="s">
        <v>26</v>
      </c>
      <c r="H2287" s="42"/>
    </row>
    <row r="2288" spans="2:8" ht="18" customHeight="1" x14ac:dyDescent="0.25">
      <c r="B2288" s="40">
        <f>SUBTOTAL(3,C$4:C2288)</f>
        <v>2191</v>
      </c>
      <c r="C2288" s="41">
        <v>24037038</v>
      </c>
      <c r="D2288" s="41" t="s">
        <v>2537</v>
      </c>
      <c r="E2288" s="41" t="s">
        <v>35</v>
      </c>
      <c r="F2288" s="41" t="s">
        <v>2481</v>
      </c>
      <c r="G2288" s="41" t="s">
        <v>26</v>
      </c>
      <c r="H2288" s="42"/>
    </row>
    <row r="2289" spans="2:8" ht="18" customHeight="1" x14ac:dyDescent="0.25">
      <c r="B2289" s="40">
        <f>SUBTOTAL(3,C$4:C2289)</f>
        <v>2192</v>
      </c>
      <c r="C2289" s="41">
        <v>24037375</v>
      </c>
      <c r="D2289" s="41" t="s">
        <v>2560</v>
      </c>
      <c r="E2289" s="41" t="s">
        <v>35</v>
      </c>
      <c r="F2289" s="41" t="s">
        <v>2481</v>
      </c>
      <c r="G2289" s="41" t="s">
        <v>26</v>
      </c>
      <c r="H2289" s="42"/>
    </row>
    <row r="2290" spans="2:8" ht="18" customHeight="1" x14ac:dyDescent="0.25">
      <c r="B2290" s="40">
        <f>SUBTOTAL(3,C$4:C2290)</f>
        <v>2193</v>
      </c>
      <c r="C2290" s="41">
        <v>24038399</v>
      </c>
      <c r="D2290" s="41" t="s">
        <v>2565</v>
      </c>
      <c r="E2290" s="41" t="s">
        <v>35</v>
      </c>
      <c r="F2290" s="41" t="s">
        <v>2481</v>
      </c>
      <c r="G2290" s="41" t="s">
        <v>26</v>
      </c>
      <c r="H2290" s="42"/>
    </row>
    <row r="2291" spans="2:8" ht="18" customHeight="1" x14ac:dyDescent="0.25">
      <c r="B2291" s="40">
        <f>SUBTOTAL(3,C$4:C2291)</f>
        <v>2194</v>
      </c>
      <c r="C2291" s="41">
        <v>24022798</v>
      </c>
      <c r="D2291" s="41" t="s">
        <v>2580</v>
      </c>
      <c r="E2291" s="41" t="s">
        <v>35</v>
      </c>
      <c r="F2291" s="41" t="s">
        <v>2481</v>
      </c>
      <c r="G2291" s="41" t="s">
        <v>26</v>
      </c>
      <c r="H2291" s="42"/>
    </row>
    <row r="2292" spans="2:8" ht="18" customHeight="1" x14ac:dyDescent="0.25">
      <c r="B2292" s="40">
        <f>SUBTOTAL(3,C$4:C2292)</f>
        <v>2195</v>
      </c>
      <c r="C2292" s="41">
        <v>24025926</v>
      </c>
      <c r="D2292" s="41" t="s">
        <v>2585</v>
      </c>
      <c r="E2292" s="41" t="s">
        <v>35</v>
      </c>
      <c r="F2292" s="41" t="s">
        <v>2481</v>
      </c>
      <c r="G2292" s="41" t="s">
        <v>26</v>
      </c>
      <c r="H2292" s="42"/>
    </row>
    <row r="2293" spans="2:8" ht="18" customHeight="1" x14ac:dyDescent="0.25">
      <c r="B2293" s="40">
        <f>SUBTOTAL(3,C$4:C2293)</f>
        <v>2196</v>
      </c>
      <c r="C2293" s="41">
        <v>24023515</v>
      </c>
      <c r="D2293" s="41" t="s">
        <v>2583</v>
      </c>
      <c r="E2293" s="41" t="s">
        <v>35</v>
      </c>
      <c r="F2293" s="41" t="s">
        <v>2481</v>
      </c>
      <c r="G2293" s="41" t="s">
        <v>26</v>
      </c>
      <c r="H2293" s="42"/>
    </row>
    <row r="2294" spans="2:8" ht="18" customHeight="1" x14ac:dyDescent="0.25">
      <c r="B2294" s="40">
        <f>SUBTOTAL(3,C$4:C2294)</f>
        <v>2197</v>
      </c>
      <c r="C2294" s="41">
        <v>24033351</v>
      </c>
      <c r="D2294" s="41" t="s">
        <v>2587</v>
      </c>
      <c r="E2294" s="41" t="s">
        <v>35</v>
      </c>
      <c r="F2294" s="41" t="s">
        <v>2481</v>
      </c>
      <c r="G2294" s="41" t="s">
        <v>26</v>
      </c>
      <c r="H2294" s="42"/>
    </row>
    <row r="2295" spans="2:8" ht="18" customHeight="1" x14ac:dyDescent="0.25">
      <c r="B2295" s="40">
        <f>SUBTOTAL(3,C$4:C2295)</f>
        <v>2198</v>
      </c>
      <c r="C2295" s="41">
        <v>24122232</v>
      </c>
      <c r="D2295" s="41" t="s">
        <v>2602</v>
      </c>
      <c r="E2295" s="41" t="s">
        <v>35</v>
      </c>
      <c r="F2295" s="41" t="s">
        <v>2481</v>
      </c>
      <c r="G2295" s="41" t="s">
        <v>26</v>
      </c>
      <c r="H2295" s="42"/>
    </row>
    <row r="2296" spans="2:8" ht="18" customHeight="1" x14ac:dyDescent="0.25">
      <c r="B2296" s="40">
        <f>SUBTOTAL(3,C$4:C2296)</f>
        <v>2199</v>
      </c>
      <c r="C2296" s="41">
        <v>24035136</v>
      </c>
      <c r="D2296" s="41" t="s">
        <v>2608</v>
      </c>
      <c r="E2296" s="41" t="s">
        <v>35</v>
      </c>
      <c r="F2296" s="41" t="s">
        <v>2481</v>
      </c>
      <c r="G2296" s="41" t="s">
        <v>26</v>
      </c>
      <c r="H2296" s="42"/>
    </row>
    <row r="2297" spans="2:8" ht="18" customHeight="1" x14ac:dyDescent="0.25">
      <c r="B2297" s="40">
        <f>SUBTOTAL(3,C$4:C2297)</f>
        <v>2200</v>
      </c>
      <c r="C2297" s="41">
        <v>24022919</v>
      </c>
      <c r="D2297" s="41" t="s">
        <v>2626</v>
      </c>
      <c r="E2297" s="41" t="s">
        <v>35</v>
      </c>
      <c r="F2297" s="41" t="s">
        <v>2481</v>
      </c>
      <c r="G2297" s="41" t="s">
        <v>26</v>
      </c>
      <c r="H2297" s="42"/>
    </row>
    <row r="2298" spans="2:8" ht="18" customHeight="1" x14ac:dyDescent="0.25">
      <c r="B2298" s="40">
        <f>SUBTOTAL(3,C$4:C2298)</f>
        <v>2201</v>
      </c>
      <c r="C2298" s="41">
        <v>24034537</v>
      </c>
      <c r="D2298" s="41" t="s">
        <v>2672</v>
      </c>
      <c r="E2298" s="41" t="s">
        <v>36</v>
      </c>
      <c r="F2298" s="41" t="s">
        <v>36</v>
      </c>
      <c r="G2298" s="41" t="s">
        <v>24</v>
      </c>
      <c r="H2298" s="42"/>
    </row>
    <row r="2299" spans="2:8" ht="18" customHeight="1" x14ac:dyDescent="0.25">
      <c r="B2299" s="40">
        <f>SUBTOTAL(3,C$4:C2299)</f>
        <v>2202</v>
      </c>
      <c r="C2299" s="41">
        <v>24020299</v>
      </c>
      <c r="D2299" s="41" t="s">
        <v>2647</v>
      </c>
      <c r="E2299" s="41" t="s">
        <v>36</v>
      </c>
      <c r="F2299" s="41" t="s">
        <v>36</v>
      </c>
      <c r="G2299" s="41" t="s">
        <v>28</v>
      </c>
      <c r="H2299" s="42"/>
    </row>
    <row r="2300" spans="2:8" ht="18" customHeight="1" x14ac:dyDescent="0.25">
      <c r="B2300" s="40">
        <f>SUBTOTAL(3,C$4:C2300)</f>
        <v>2203</v>
      </c>
      <c r="C2300" s="41">
        <v>24031241</v>
      </c>
      <c r="D2300" s="41" t="s">
        <v>2673</v>
      </c>
      <c r="E2300" s="41" t="s">
        <v>36</v>
      </c>
      <c r="F2300" s="41" t="s">
        <v>36</v>
      </c>
      <c r="G2300" s="41" t="s">
        <v>24</v>
      </c>
      <c r="H2300" s="42"/>
    </row>
    <row r="2301" spans="2:8" ht="18" customHeight="1" x14ac:dyDescent="0.25">
      <c r="B2301" s="40">
        <f>SUBTOTAL(3,C$4:C2301)</f>
        <v>2204</v>
      </c>
      <c r="C2301" s="41">
        <v>24027116</v>
      </c>
      <c r="D2301" s="41" t="s">
        <v>2648</v>
      </c>
      <c r="E2301" s="41" t="s">
        <v>36</v>
      </c>
      <c r="F2301" s="41" t="s">
        <v>36</v>
      </c>
      <c r="G2301" s="41" t="s">
        <v>28</v>
      </c>
      <c r="H2301" s="42"/>
    </row>
    <row r="2302" spans="2:8" ht="18" customHeight="1" x14ac:dyDescent="0.25">
      <c r="B2302" s="40">
        <f>SUBTOTAL(3,C$4:C2302)</f>
        <v>2205</v>
      </c>
      <c r="C2302" s="41">
        <v>24032956</v>
      </c>
      <c r="D2302" s="41" t="s">
        <v>2649</v>
      </c>
      <c r="E2302" s="41" t="s">
        <v>36</v>
      </c>
      <c r="F2302" s="41" t="s">
        <v>36</v>
      </c>
      <c r="G2302" s="41" t="s">
        <v>28</v>
      </c>
      <c r="H2302" s="42"/>
    </row>
    <row r="2303" spans="2:8" ht="18" customHeight="1" x14ac:dyDescent="0.25">
      <c r="B2303" s="40">
        <f>SUBTOTAL(3,C$4:C2303)</f>
        <v>2206</v>
      </c>
      <c r="C2303" s="41">
        <v>24029954</v>
      </c>
      <c r="D2303" s="41" t="s">
        <v>2650</v>
      </c>
      <c r="E2303" s="41" t="s">
        <v>36</v>
      </c>
      <c r="F2303" s="41" t="s">
        <v>36</v>
      </c>
      <c r="G2303" s="41" t="s">
        <v>28</v>
      </c>
      <c r="H2303" s="42"/>
    </row>
    <row r="2304" spans="2:8" ht="18" customHeight="1" x14ac:dyDescent="0.25">
      <c r="B2304" s="40">
        <f>SUBTOTAL(3,C$4:C2304)</f>
        <v>2207</v>
      </c>
      <c r="C2304" s="41">
        <v>24030025</v>
      </c>
      <c r="D2304" s="41" t="s">
        <v>2674</v>
      </c>
      <c r="E2304" s="41" t="s">
        <v>36</v>
      </c>
      <c r="F2304" s="41" t="s">
        <v>36</v>
      </c>
      <c r="G2304" s="41" t="s">
        <v>24</v>
      </c>
      <c r="H2304" s="42"/>
    </row>
    <row r="2305" spans="2:8" ht="18" customHeight="1" x14ac:dyDescent="0.25">
      <c r="B2305" s="40">
        <f>SUBTOTAL(3,C$4:C2305)</f>
        <v>2208</v>
      </c>
      <c r="C2305" s="41">
        <v>24019844</v>
      </c>
      <c r="D2305" s="41" t="s">
        <v>2675</v>
      </c>
      <c r="E2305" s="41" t="s">
        <v>36</v>
      </c>
      <c r="F2305" s="41" t="s">
        <v>36</v>
      </c>
      <c r="G2305" s="41" t="s">
        <v>24</v>
      </c>
      <c r="H2305" s="42"/>
    </row>
    <row r="2306" spans="2:8" ht="18" customHeight="1" x14ac:dyDescent="0.25">
      <c r="B2306" s="40">
        <f>SUBTOTAL(3,C$4:C2306)</f>
        <v>2209</v>
      </c>
      <c r="C2306" s="41">
        <v>24033829</v>
      </c>
      <c r="D2306" s="41" t="s">
        <v>2676</v>
      </c>
      <c r="E2306" s="41" t="s">
        <v>36</v>
      </c>
      <c r="F2306" s="41" t="s">
        <v>36</v>
      </c>
      <c r="G2306" s="41" t="s">
        <v>24</v>
      </c>
      <c r="H2306" s="42"/>
    </row>
    <row r="2307" spans="2:8" ht="18" customHeight="1" x14ac:dyDescent="0.25">
      <c r="B2307" s="40">
        <f>SUBTOTAL(3,C$4:C2307)</f>
        <v>2210</v>
      </c>
      <c r="C2307" s="41">
        <v>24021758</v>
      </c>
      <c r="D2307" s="41" t="s">
        <v>2651</v>
      </c>
      <c r="E2307" s="41" t="s">
        <v>36</v>
      </c>
      <c r="F2307" s="41" t="s">
        <v>36</v>
      </c>
      <c r="G2307" s="41" t="s">
        <v>28</v>
      </c>
      <c r="H2307" s="42"/>
    </row>
    <row r="2308" spans="2:8" ht="18" customHeight="1" x14ac:dyDescent="0.25">
      <c r="B2308" s="40">
        <f>SUBTOTAL(3,C$4:C2308)</f>
        <v>2211</v>
      </c>
      <c r="C2308" s="41">
        <v>24026190</v>
      </c>
      <c r="D2308" s="41" t="s">
        <v>2652</v>
      </c>
      <c r="E2308" s="41" t="s">
        <v>36</v>
      </c>
      <c r="F2308" s="41" t="s">
        <v>36</v>
      </c>
      <c r="G2308" s="41" t="s">
        <v>28</v>
      </c>
      <c r="H2308" s="42"/>
    </row>
    <row r="2309" spans="2:8" ht="18" customHeight="1" x14ac:dyDescent="0.25">
      <c r="B2309" s="40">
        <f>SUBTOTAL(3,C$4:C2309)</f>
        <v>2212</v>
      </c>
      <c r="C2309" s="41">
        <v>24035810</v>
      </c>
      <c r="D2309" s="41" t="s">
        <v>2677</v>
      </c>
      <c r="E2309" s="41" t="s">
        <v>36</v>
      </c>
      <c r="F2309" s="41" t="s">
        <v>36</v>
      </c>
      <c r="G2309" s="41" t="s">
        <v>24</v>
      </c>
      <c r="H2309" s="42"/>
    </row>
    <row r="2310" spans="2:8" ht="18" customHeight="1" x14ac:dyDescent="0.25">
      <c r="B2310" s="40">
        <f>SUBTOTAL(3,C$4:C2310)</f>
        <v>2213</v>
      </c>
      <c r="C2310" s="41">
        <v>24024898</v>
      </c>
      <c r="D2310" s="41" t="s">
        <v>2678</v>
      </c>
      <c r="E2310" s="41" t="s">
        <v>36</v>
      </c>
      <c r="F2310" s="41" t="s">
        <v>36</v>
      </c>
      <c r="G2310" s="41" t="s">
        <v>24</v>
      </c>
      <c r="H2310" s="42" t="s">
        <v>2679</v>
      </c>
    </row>
    <row r="2311" spans="2:8" ht="18" customHeight="1" x14ac:dyDescent="0.25">
      <c r="B2311" s="40">
        <f>SUBTOTAL(3,C$4:C2311)</f>
        <v>2214</v>
      </c>
      <c r="C2311" s="41">
        <v>24036096</v>
      </c>
      <c r="D2311" s="41" t="s">
        <v>2680</v>
      </c>
      <c r="E2311" s="41" t="s">
        <v>36</v>
      </c>
      <c r="F2311" s="41" t="s">
        <v>36</v>
      </c>
      <c r="G2311" s="41" t="s">
        <v>24</v>
      </c>
      <c r="H2311" s="42"/>
    </row>
    <row r="2312" spans="2:8" ht="18" customHeight="1" x14ac:dyDescent="0.25">
      <c r="B2312" s="40">
        <f>SUBTOTAL(3,C$4:C2312)</f>
        <v>2215</v>
      </c>
      <c r="C2312" s="41">
        <v>24033619</v>
      </c>
      <c r="D2312" s="41" t="s">
        <v>2681</v>
      </c>
      <c r="E2312" s="41" t="s">
        <v>36</v>
      </c>
      <c r="F2312" s="41" t="s">
        <v>36</v>
      </c>
      <c r="G2312" s="41" t="s">
        <v>24</v>
      </c>
      <c r="H2312" s="42"/>
    </row>
    <row r="2313" spans="2:8" ht="18" customHeight="1" x14ac:dyDescent="0.25">
      <c r="B2313" s="40">
        <f>SUBTOTAL(3,C$4:C2313)</f>
        <v>2216</v>
      </c>
      <c r="C2313" s="41">
        <v>24026644</v>
      </c>
      <c r="D2313" s="41" t="s">
        <v>2682</v>
      </c>
      <c r="E2313" s="41" t="s">
        <v>36</v>
      </c>
      <c r="F2313" s="41" t="s">
        <v>36</v>
      </c>
      <c r="G2313" s="41" t="s">
        <v>24</v>
      </c>
      <c r="H2313" s="42"/>
    </row>
    <row r="2314" spans="2:8" ht="18" customHeight="1" x14ac:dyDescent="0.25">
      <c r="B2314" s="40">
        <f>SUBTOTAL(3,C$4:C2314)</f>
        <v>2217</v>
      </c>
      <c r="C2314" s="41">
        <v>24023530</v>
      </c>
      <c r="D2314" s="41" t="s">
        <v>2653</v>
      </c>
      <c r="E2314" s="41" t="s">
        <v>36</v>
      </c>
      <c r="F2314" s="41" t="s">
        <v>36</v>
      </c>
      <c r="G2314" s="41" t="s">
        <v>28</v>
      </c>
      <c r="H2314" s="42"/>
    </row>
    <row r="2315" spans="2:8" ht="18" customHeight="1" x14ac:dyDescent="0.25">
      <c r="B2315" s="40">
        <f>SUBTOTAL(3,C$4:C2315)</f>
        <v>2218</v>
      </c>
      <c r="C2315" s="41">
        <v>24019544</v>
      </c>
      <c r="D2315" s="41" t="s">
        <v>2683</v>
      </c>
      <c r="E2315" s="41" t="s">
        <v>36</v>
      </c>
      <c r="F2315" s="41" t="s">
        <v>36</v>
      </c>
      <c r="G2315" s="41" t="s">
        <v>24</v>
      </c>
      <c r="H2315" s="42"/>
    </row>
    <row r="2316" spans="2:8" ht="18" customHeight="1" x14ac:dyDescent="0.25">
      <c r="B2316" s="40">
        <f>SUBTOTAL(3,C$4:C2316)</f>
        <v>2219</v>
      </c>
      <c r="C2316" s="41">
        <v>24019300</v>
      </c>
      <c r="D2316" s="41" t="s">
        <v>2684</v>
      </c>
      <c r="E2316" s="41" t="s">
        <v>36</v>
      </c>
      <c r="F2316" s="41" t="s">
        <v>36</v>
      </c>
      <c r="G2316" s="41" t="s">
        <v>24</v>
      </c>
      <c r="H2316" s="42"/>
    </row>
    <row r="2317" spans="2:8" ht="18" customHeight="1" x14ac:dyDescent="0.25">
      <c r="B2317" s="40">
        <f>SUBTOTAL(3,C$4:C2317)</f>
        <v>2220</v>
      </c>
      <c r="C2317" s="41">
        <v>24036155</v>
      </c>
      <c r="D2317" s="41" t="s">
        <v>2703</v>
      </c>
      <c r="E2317" s="41" t="s">
        <v>36</v>
      </c>
      <c r="F2317" s="41" t="s">
        <v>36</v>
      </c>
      <c r="G2317" s="41" t="s">
        <v>24</v>
      </c>
      <c r="H2317" s="42" t="s">
        <v>2704</v>
      </c>
    </row>
    <row r="2318" spans="2:8" ht="18" customHeight="1" x14ac:dyDescent="0.25">
      <c r="B2318" s="40">
        <f>SUBTOTAL(3,C$4:C2318)</f>
        <v>2221</v>
      </c>
      <c r="C2318" s="41">
        <v>24035907</v>
      </c>
      <c r="D2318" s="41" t="s">
        <v>2685</v>
      </c>
      <c r="E2318" s="41" t="s">
        <v>36</v>
      </c>
      <c r="F2318" s="41" t="s">
        <v>36</v>
      </c>
      <c r="G2318" s="41" t="s">
        <v>24</v>
      </c>
      <c r="H2318" s="42"/>
    </row>
    <row r="2319" spans="2:8" ht="18" customHeight="1" x14ac:dyDescent="0.25">
      <c r="B2319" s="40">
        <f>SUBTOTAL(3,C$4:C2319)</f>
        <v>2222</v>
      </c>
      <c r="C2319" s="41">
        <v>24029937</v>
      </c>
      <c r="D2319" s="41" t="s">
        <v>2654</v>
      </c>
      <c r="E2319" s="41" t="s">
        <v>36</v>
      </c>
      <c r="F2319" s="41" t="s">
        <v>36</v>
      </c>
      <c r="G2319" s="41" t="s">
        <v>28</v>
      </c>
      <c r="H2319" s="42" t="s">
        <v>2655</v>
      </c>
    </row>
    <row r="2320" spans="2:8" ht="18" customHeight="1" x14ac:dyDescent="0.25">
      <c r="B2320" s="40">
        <f>SUBTOTAL(3,C$4:C2320)</f>
        <v>2223</v>
      </c>
      <c r="C2320" s="41">
        <v>24027801</v>
      </c>
      <c r="D2320" s="41" t="s">
        <v>2656</v>
      </c>
      <c r="E2320" s="41" t="s">
        <v>36</v>
      </c>
      <c r="F2320" s="41" t="s">
        <v>36</v>
      </c>
      <c r="G2320" s="41" t="s">
        <v>28</v>
      </c>
      <c r="H2320" s="42"/>
    </row>
    <row r="2321" spans="2:8" ht="18" customHeight="1" x14ac:dyDescent="0.25">
      <c r="B2321" s="40">
        <f>SUBTOTAL(3,C$4:C2321)</f>
        <v>2224</v>
      </c>
      <c r="C2321" s="41">
        <v>24025056</v>
      </c>
      <c r="D2321" s="41" t="s">
        <v>2686</v>
      </c>
      <c r="E2321" s="41" t="s">
        <v>36</v>
      </c>
      <c r="F2321" s="41" t="s">
        <v>36</v>
      </c>
      <c r="G2321" s="41" t="s">
        <v>24</v>
      </c>
      <c r="H2321" s="42"/>
    </row>
    <row r="2322" spans="2:8" ht="18" customHeight="1" x14ac:dyDescent="0.25">
      <c r="B2322" s="40">
        <f>SUBTOTAL(3,C$4:C2322)</f>
        <v>2225</v>
      </c>
      <c r="C2322" s="41">
        <v>24038293</v>
      </c>
      <c r="D2322" s="41" t="s">
        <v>2657</v>
      </c>
      <c r="E2322" s="41" t="s">
        <v>36</v>
      </c>
      <c r="F2322" s="41" t="s">
        <v>36</v>
      </c>
      <c r="G2322" s="41" t="s">
        <v>28</v>
      </c>
      <c r="H2322" s="42"/>
    </row>
    <row r="2323" spans="2:8" ht="18" customHeight="1" x14ac:dyDescent="0.25">
      <c r="B2323" s="40">
        <f>SUBTOTAL(3,C$4:C2323)</f>
        <v>2226</v>
      </c>
      <c r="C2323" s="41">
        <v>24035702</v>
      </c>
      <c r="D2323" s="41" t="s">
        <v>2687</v>
      </c>
      <c r="E2323" s="41" t="s">
        <v>36</v>
      </c>
      <c r="F2323" s="41" t="s">
        <v>36</v>
      </c>
      <c r="G2323" s="41" t="s">
        <v>24</v>
      </c>
      <c r="H2323" s="42"/>
    </row>
    <row r="2324" spans="2:8" ht="18" customHeight="1" x14ac:dyDescent="0.25">
      <c r="B2324" s="40">
        <f>SUBTOTAL(3,C$4:C2324)</f>
        <v>2227</v>
      </c>
      <c r="C2324" s="41">
        <v>24035829</v>
      </c>
      <c r="D2324" s="41" t="s">
        <v>2688</v>
      </c>
      <c r="E2324" s="41" t="s">
        <v>36</v>
      </c>
      <c r="F2324" s="41" t="s">
        <v>36</v>
      </c>
      <c r="G2324" s="41" t="s">
        <v>24</v>
      </c>
      <c r="H2324" s="42"/>
    </row>
    <row r="2325" spans="2:8" ht="18" customHeight="1" x14ac:dyDescent="0.25">
      <c r="B2325" s="40">
        <f>SUBTOTAL(3,C$4:C2325)</f>
        <v>2228</v>
      </c>
      <c r="C2325" s="41">
        <v>24038198</v>
      </c>
      <c r="D2325" s="41" t="s">
        <v>2658</v>
      </c>
      <c r="E2325" s="41" t="s">
        <v>36</v>
      </c>
      <c r="F2325" s="41" t="s">
        <v>36</v>
      </c>
      <c r="G2325" s="41" t="s">
        <v>28</v>
      </c>
      <c r="H2325" s="42"/>
    </row>
    <row r="2326" spans="2:8" ht="18" customHeight="1" x14ac:dyDescent="0.25">
      <c r="B2326" s="40">
        <f>SUBTOTAL(3,C$4:C2326)</f>
        <v>2229</v>
      </c>
      <c r="C2326" s="41">
        <v>24024272</v>
      </c>
      <c r="D2326" s="41" t="s">
        <v>2689</v>
      </c>
      <c r="E2326" s="41" t="s">
        <v>36</v>
      </c>
      <c r="F2326" s="41" t="s">
        <v>36</v>
      </c>
      <c r="G2326" s="41" t="s">
        <v>24</v>
      </c>
      <c r="H2326" s="42"/>
    </row>
    <row r="2327" spans="2:8" ht="18" customHeight="1" x14ac:dyDescent="0.25">
      <c r="B2327" s="40">
        <f>SUBTOTAL(3,C$4:C2327)</f>
        <v>2230</v>
      </c>
      <c r="C2327" s="41">
        <v>24030141</v>
      </c>
      <c r="D2327" s="41" t="s">
        <v>2659</v>
      </c>
      <c r="E2327" s="41" t="s">
        <v>36</v>
      </c>
      <c r="F2327" s="41" t="s">
        <v>36</v>
      </c>
      <c r="G2327" s="41" t="s">
        <v>28</v>
      </c>
      <c r="H2327" s="42"/>
    </row>
    <row r="2328" spans="2:8" ht="18" customHeight="1" x14ac:dyDescent="0.25">
      <c r="B2328" s="40">
        <f>SUBTOTAL(3,C$4:C2328)</f>
        <v>2231</v>
      </c>
      <c r="C2328" s="41">
        <v>24033436</v>
      </c>
      <c r="D2328" s="41" t="s">
        <v>2690</v>
      </c>
      <c r="E2328" s="41" t="s">
        <v>36</v>
      </c>
      <c r="F2328" s="41" t="s">
        <v>36</v>
      </c>
      <c r="G2328" s="41" t="s">
        <v>24</v>
      </c>
      <c r="H2328" s="42"/>
    </row>
    <row r="2329" spans="2:8" ht="18" customHeight="1" x14ac:dyDescent="0.25">
      <c r="B2329" s="40">
        <f>SUBTOTAL(3,C$4:C2329)</f>
        <v>2232</v>
      </c>
      <c r="C2329" s="41">
        <v>24022821</v>
      </c>
      <c r="D2329" s="41" t="s">
        <v>2660</v>
      </c>
      <c r="E2329" s="41" t="s">
        <v>36</v>
      </c>
      <c r="F2329" s="41" t="s">
        <v>36</v>
      </c>
      <c r="G2329" s="41" t="s">
        <v>28</v>
      </c>
      <c r="H2329" s="42"/>
    </row>
    <row r="2330" spans="2:8" ht="18" customHeight="1" x14ac:dyDescent="0.25">
      <c r="B2330" s="40">
        <f>SUBTOTAL(3,C$4:C2330)</f>
        <v>2233</v>
      </c>
      <c r="C2330" s="41">
        <v>24035181</v>
      </c>
      <c r="D2330" s="41" t="s">
        <v>609</v>
      </c>
      <c r="E2330" s="41" t="s">
        <v>36</v>
      </c>
      <c r="F2330" s="41" t="s">
        <v>36</v>
      </c>
      <c r="G2330" s="41" t="s">
        <v>24</v>
      </c>
      <c r="H2330" s="42"/>
    </row>
    <row r="2331" spans="2:8" ht="18" customHeight="1" x14ac:dyDescent="0.25">
      <c r="B2331" s="40">
        <f>SUBTOTAL(3,C$4:C2331)</f>
        <v>2234</v>
      </c>
      <c r="C2331" s="41">
        <v>24022258</v>
      </c>
      <c r="D2331" s="41" t="s">
        <v>2661</v>
      </c>
      <c r="E2331" s="41" t="s">
        <v>36</v>
      </c>
      <c r="F2331" s="41" t="s">
        <v>36</v>
      </c>
      <c r="G2331" s="41" t="s">
        <v>28</v>
      </c>
      <c r="H2331" s="42"/>
    </row>
    <row r="2332" spans="2:8" ht="18" customHeight="1" x14ac:dyDescent="0.25">
      <c r="B2332" s="40">
        <f>SUBTOTAL(3,C$4:C2332)</f>
        <v>2235</v>
      </c>
      <c r="C2332" s="41">
        <v>24027882</v>
      </c>
      <c r="D2332" s="41" t="s">
        <v>2691</v>
      </c>
      <c r="E2332" s="41" t="s">
        <v>36</v>
      </c>
      <c r="F2332" s="41" t="s">
        <v>36</v>
      </c>
      <c r="G2332" s="41" t="s">
        <v>24</v>
      </c>
      <c r="H2332" s="42"/>
    </row>
    <row r="2333" spans="2:8" ht="18" customHeight="1" x14ac:dyDescent="0.25">
      <c r="B2333" s="40">
        <f>SUBTOTAL(3,C$4:C2333)</f>
        <v>2236</v>
      </c>
      <c r="C2333" s="41">
        <v>24021954</v>
      </c>
      <c r="D2333" s="41" t="s">
        <v>2692</v>
      </c>
      <c r="E2333" s="41" t="s">
        <v>36</v>
      </c>
      <c r="F2333" s="41" t="s">
        <v>36</v>
      </c>
      <c r="G2333" s="41" t="s">
        <v>24</v>
      </c>
      <c r="H2333" s="42"/>
    </row>
    <row r="2334" spans="2:8" ht="18" customHeight="1" x14ac:dyDescent="0.25">
      <c r="B2334" s="40">
        <f>SUBTOTAL(3,C$4:C2334)</f>
        <v>2237</v>
      </c>
      <c r="C2334" s="41">
        <v>24027940</v>
      </c>
      <c r="D2334" s="41" t="s">
        <v>2662</v>
      </c>
      <c r="E2334" s="41" t="s">
        <v>36</v>
      </c>
      <c r="F2334" s="41" t="s">
        <v>36</v>
      </c>
      <c r="G2334" s="41" t="s">
        <v>28</v>
      </c>
      <c r="H2334" s="42"/>
    </row>
    <row r="2335" spans="2:8" ht="18" customHeight="1" x14ac:dyDescent="0.25">
      <c r="B2335" s="40">
        <f>SUBTOTAL(3,C$4:C2335)</f>
        <v>2238</v>
      </c>
      <c r="C2335" s="41">
        <v>24028600</v>
      </c>
      <c r="D2335" s="41" t="s">
        <v>2693</v>
      </c>
      <c r="E2335" s="41" t="s">
        <v>36</v>
      </c>
      <c r="F2335" s="41" t="s">
        <v>36</v>
      </c>
      <c r="G2335" s="41" t="s">
        <v>24</v>
      </c>
      <c r="H2335" s="42"/>
    </row>
    <row r="2336" spans="2:8" ht="18" customHeight="1" x14ac:dyDescent="0.25">
      <c r="B2336" s="40">
        <f>SUBTOTAL(3,C$4:C2336)</f>
        <v>2239</v>
      </c>
      <c r="C2336" s="41">
        <v>24034930</v>
      </c>
      <c r="D2336" s="41" t="s">
        <v>2694</v>
      </c>
      <c r="E2336" s="41" t="s">
        <v>36</v>
      </c>
      <c r="F2336" s="41" t="s">
        <v>36</v>
      </c>
      <c r="G2336" s="41" t="s">
        <v>24</v>
      </c>
      <c r="H2336" s="42"/>
    </row>
    <row r="2337" spans="2:8" ht="18" customHeight="1" x14ac:dyDescent="0.25">
      <c r="B2337" s="40">
        <f>SUBTOTAL(3,C$4:C2337)</f>
        <v>2240</v>
      </c>
      <c r="C2337" s="41">
        <v>24030962</v>
      </c>
      <c r="D2337" s="41" t="s">
        <v>2663</v>
      </c>
      <c r="E2337" s="41" t="s">
        <v>36</v>
      </c>
      <c r="F2337" s="41" t="s">
        <v>36</v>
      </c>
      <c r="G2337" s="41" t="s">
        <v>28</v>
      </c>
      <c r="H2337" s="42"/>
    </row>
    <row r="2338" spans="2:8" ht="18" customHeight="1" x14ac:dyDescent="0.25">
      <c r="B2338" s="40">
        <f>SUBTOTAL(3,C$4:C2338)</f>
        <v>2241</v>
      </c>
      <c r="C2338" s="41">
        <v>24028098</v>
      </c>
      <c r="D2338" s="41" t="s">
        <v>2695</v>
      </c>
      <c r="E2338" s="41" t="s">
        <v>36</v>
      </c>
      <c r="F2338" s="41" t="s">
        <v>36</v>
      </c>
      <c r="G2338" s="41" t="s">
        <v>24</v>
      </c>
      <c r="H2338" s="42"/>
    </row>
    <row r="2339" spans="2:8" ht="18" customHeight="1" x14ac:dyDescent="0.25">
      <c r="B2339" s="40">
        <f>SUBTOTAL(3,C$4:C2339)</f>
        <v>2242</v>
      </c>
      <c r="C2339" s="41">
        <v>24035409</v>
      </c>
      <c r="D2339" s="41" t="s">
        <v>2664</v>
      </c>
      <c r="E2339" s="41" t="s">
        <v>36</v>
      </c>
      <c r="F2339" s="41" t="s">
        <v>36</v>
      </c>
      <c r="G2339" s="41" t="s">
        <v>28</v>
      </c>
      <c r="H2339" s="42"/>
    </row>
    <row r="2340" spans="2:8" ht="18" customHeight="1" x14ac:dyDescent="0.25">
      <c r="B2340" s="40">
        <f>SUBTOTAL(3,C$4:C2340)</f>
        <v>2243</v>
      </c>
      <c r="C2340" s="41">
        <v>24032866</v>
      </c>
      <c r="D2340" s="41" t="s">
        <v>2665</v>
      </c>
      <c r="E2340" s="41" t="s">
        <v>36</v>
      </c>
      <c r="F2340" s="41" t="s">
        <v>36</v>
      </c>
      <c r="G2340" s="41" t="s">
        <v>28</v>
      </c>
      <c r="H2340" s="42"/>
    </row>
    <row r="2341" spans="2:8" ht="18" customHeight="1" x14ac:dyDescent="0.25">
      <c r="B2341" s="40">
        <f>SUBTOTAL(3,C$4:C2341)</f>
        <v>2244</v>
      </c>
      <c r="C2341" s="41">
        <v>24030949</v>
      </c>
      <c r="D2341" s="41" t="s">
        <v>2666</v>
      </c>
      <c r="E2341" s="41" t="s">
        <v>36</v>
      </c>
      <c r="F2341" s="41" t="s">
        <v>36</v>
      </c>
      <c r="G2341" s="41" t="s">
        <v>28</v>
      </c>
      <c r="H2341" s="42"/>
    </row>
    <row r="2342" spans="2:8" ht="18" customHeight="1" x14ac:dyDescent="0.25">
      <c r="B2342" s="40">
        <f>SUBTOTAL(3,C$4:C2342)</f>
        <v>2245</v>
      </c>
      <c r="C2342" s="41">
        <v>24028357</v>
      </c>
      <c r="D2342" s="41" t="s">
        <v>2667</v>
      </c>
      <c r="E2342" s="41" t="s">
        <v>36</v>
      </c>
      <c r="F2342" s="41" t="s">
        <v>36</v>
      </c>
      <c r="G2342" s="41" t="s">
        <v>28</v>
      </c>
      <c r="H2342" s="42"/>
    </row>
    <row r="2343" spans="2:8" ht="18" customHeight="1" x14ac:dyDescent="0.25">
      <c r="B2343" s="40">
        <f>SUBTOTAL(3,C$4:C2343)</f>
        <v>2246</v>
      </c>
      <c r="C2343" s="41">
        <v>24024054</v>
      </c>
      <c r="D2343" s="41" t="s">
        <v>2668</v>
      </c>
      <c r="E2343" s="41" t="s">
        <v>36</v>
      </c>
      <c r="F2343" s="41" t="s">
        <v>36</v>
      </c>
      <c r="G2343" s="41" t="s">
        <v>28</v>
      </c>
      <c r="H2343" s="42"/>
    </row>
    <row r="2344" spans="2:8" ht="18" customHeight="1" x14ac:dyDescent="0.25">
      <c r="B2344" s="40">
        <f>SUBTOTAL(3,C$4:C2344)</f>
        <v>2247</v>
      </c>
      <c r="C2344" s="41">
        <v>24034003</v>
      </c>
      <c r="D2344" s="41" t="s">
        <v>2669</v>
      </c>
      <c r="E2344" s="41" t="s">
        <v>36</v>
      </c>
      <c r="F2344" s="41" t="s">
        <v>36</v>
      </c>
      <c r="G2344" s="41" t="s">
        <v>28</v>
      </c>
      <c r="H2344" s="42"/>
    </row>
    <row r="2345" spans="2:8" ht="18" customHeight="1" x14ac:dyDescent="0.25">
      <c r="B2345" s="40">
        <f>SUBTOTAL(3,C$4:C2345)</f>
        <v>2248</v>
      </c>
      <c r="C2345" s="41">
        <v>24027132</v>
      </c>
      <c r="D2345" s="41" t="s">
        <v>2696</v>
      </c>
      <c r="E2345" s="41" t="s">
        <v>36</v>
      </c>
      <c r="F2345" s="41" t="s">
        <v>36</v>
      </c>
      <c r="G2345" s="41" t="s">
        <v>24</v>
      </c>
      <c r="H2345" s="42"/>
    </row>
    <row r="2346" spans="2:8" ht="18" customHeight="1" x14ac:dyDescent="0.25">
      <c r="B2346" s="40">
        <f>SUBTOTAL(3,C$4:C2346)</f>
        <v>2249</v>
      </c>
      <c r="C2346" s="41">
        <v>24028407</v>
      </c>
      <c r="D2346" s="41" t="s">
        <v>2670</v>
      </c>
      <c r="E2346" s="41" t="s">
        <v>36</v>
      </c>
      <c r="F2346" s="41" t="s">
        <v>36</v>
      </c>
      <c r="G2346" s="41" t="s">
        <v>28</v>
      </c>
      <c r="H2346" s="42"/>
    </row>
    <row r="2347" spans="2:8" ht="18" customHeight="1" x14ac:dyDescent="0.25">
      <c r="B2347" s="40">
        <f>SUBTOTAL(3,C$4:C2347)</f>
        <v>2250</v>
      </c>
      <c r="C2347" s="41">
        <v>24030587</v>
      </c>
      <c r="D2347" s="41" t="s">
        <v>2697</v>
      </c>
      <c r="E2347" s="41" t="s">
        <v>36</v>
      </c>
      <c r="F2347" s="41" t="s">
        <v>36</v>
      </c>
      <c r="G2347" s="41" t="s">
        <v>24</v>
      </c>
      <c r="H2347" s="42"/>
    </row>
    <row r="2348" spans="2:8" ht="18" customHeight="1" x14ac:dyDescent="0.25">
      <c r="B2348" s="40">
        <f>SUBTOTAL(3,C$4:C2348)</f>
        <v>2251</v>
      </c>
      <c r="C2348" s="41">
        <v>24120647</v>
      </c>
      <c r="D2348" s="41" t="s">
        <v>2698</v>
      </c>
      <c r="E2348" s="41" t="s">
        <v>36</v>
      </c>
      <c r="F2348" s="41" t="s">
        <v>36</v>
      </c>
      <c r="G2348" s="41" t="s">
        <v>24</v>
      </c>
      <c r="H2348" s="42"/>
    </row>
    <row r="2349" spans="2:8" ht="18" customHeight="1" x14ac:dyDescent="0.25">
      <c r="B2349" s="40">
        <f>SUBTOTAL(3,C$4:C2349)</f>
        <v>2252</v>
      </c>
      <c r="C2349" s="41">
        <v>24019737</v>
      </c>
      <c r="D2349" s="41" t="s">
        <v>2699</v>
      </c>
      <c r="E2349" s="41" t="s">
        <v>36</v>
      </c>
      <c r="F2349" s="41" t="s">
        <v>36</v>
      </c>
      <c r="G2349" s="41" t="s">
        <v>24</v>
      </c>
      <c r="H2349" s="42"/>
    </row>
    <row r="2350" spans="2:8" ht="18" customHeight="1" x14ac:dyDescent="0.25">
      <c r="B2350" s="40">
        <f>SUBTOTAL(3,C$4:C2350)</f>
        <v>2253</v>
      </c>
      <c r="C2350" s="41">
        <v>24025850</v>
      </c>
      <c r="D2350" s="41" t="s">
        <v>2700</v>
      </c>
      <c r="E2350" s="41" t="s">
        <v>36</v>
      </c>
      <c r="F2350" s="41" t="s">
        <v>36</v>
      </c>
      <c r="G2350" s="41" t="s">
        <v>24</v>
      </c>
      <c r="H2350" s="42" t="s">
        <v>2679</v>
      </c>
    </row>
    <row r="2351" spans="2:8" ht="18" customHeight="1" x14ac:dyDescent="0.25">
      <c r="B2351" s="40">
        <f>SUBTOTAL(3,C$4:C2351)</f>
        <v>2254</v>
      </c>
      <c r="C2351" s="41">
        <v>24035931</v>
      </c>
      <c r="D2351" s="41" t="s">
        <v>2701</v>
      </c>
      <c r="E2351" s="41" t="s">
        <v>36</v>
      </c>
      <c r="F2351" s="41" t="s">
        <v>36</v>
      </c>
      <c r="G2351" s="41" t="s">
        <v>24</v>
      </c>
      <c r="H2351" s="42"/>
    </row>
    <row r="2352" spans="2:8" ht="18" customHeight="1" x14ac:dyDescent="0.25">
      <c r="B2352" s="40">
        <f>SUBTOTAL(3,C$4:C2352)</f>
        <v>2255</v>
      </c>
      <c r="C2352" s="41">
        <v>24029971</v>
      </c>
      <c r="D2352" s="41" t="s">
        <v>2671</v>
      </c>
      <c r="E2352" s="41" t="s">
        <v>36</v>
      </c>
      <c r="F2352" s="41" t="s">
        <v>36</v>
      </c>
      <c r="G2352" s="41" t="s">
        <v>28</v>
      </c>
      <c r="H2352" s="42"/>
    </row>
    <row r="2353" spans="2:8" ht="18" customHeight="1" x14ac:dyDescent="0.25">
      <c r="B2353" s="40">
        <f>SUBTOTAL(3,C$4:C2353)</f>
        <v>2256</v>
      </c>
      <c r="C2353" s="41">
        <v>24024950</v>
      </c>
      <c r="D2353" s="41" t="s">
        <v>2702</v>
      </c>
      <c r="E2353" s="41" t="s">
        <v>36</v>
      </c>
      <c r="F2353" s="41" t="s">
        <v>36</v>
      </c>
      <c r="G2353" s="41" t="s">
        <v>24</v>
      </c>
      <c r="H2353" s="42"/>
    </row>
    <row r="2354" spans="2:8" ht="18" customHeight="1" thickBot="1" x14ac:dyDescent="0.3">
      <c r="B2354" s="43"/>
      <c r="C2354" s="44"/>
      <c r="D2354" s="44"/>
      <c r="E2354" s="44"/>
      <c r="F2354" s="44"/>
      <c r="G2354" s="44"/>
      <c r="H2354" s="45"/>
    </row>
    <row r="2355" spans="2:8" ht="5.0999999999999996" customHeight="1" x14ac:dyDescent="0.25"/>
    <row r="2356" spans="2:8" ht="18" hidden="1" customHeight="1" x14ac:dyDescent="0.25"/>
  </sheetData>
  <autoFilter ref="C3:H2353" xr:uid="{00000000-0009-0000-0000-000004000000}">
    <filterColumn colId="4">
      <filters>
        <filter val="ZG 1"/>
        <filter val="ZG 2"/>
        <filter val="ZG 3"/>
      </filters>
    </filterColumn>
    <sortState xmlns:xlrd2="http://schemas.microsoft.com/office/spreadsheetml/2017/richdata2" ref="C4:H2353">
      <sortCondition ref="F3"/>
    </sortState>
  </autoFilter>
  <mergeCells count="1">
    <mergeCell ref="B2:H2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pageSetUpPr fitToPage="1"/>
  </sheetPr>
  <dimension ref="B1:U20"/>
  <sheetViews>
    <sheetView showGridLines="0" tabSelected="1" zoomScaleNormal="100" workbookViewId="0">
      <selection activeCell="F6" sqref="F6"/>
    </sheetView>
  </sheetViews>
  <sheetFormatPr baseColWidth="10" defaultColWidth="14.7109375" defaultRowHeight="18" customHeight="1" x14ac:dyDescent="0.25"/>
  <cols>
    <col min="1" max="1" width="0.85546875" style="35" customWidth="1"/>
    <col min="2" max="3" width="14.7109375" style="35" customWidth="1"/>
    <col min="4" max="5" width="20.7109375" style="35" customWidth="1"/>
    <col min="6" max="6" width="22.7109375" style="35" customWidth="1"/>
    <col min="7" max="7" width="14.7109375" style="35" customWidth="1"/>
    <col min="8" max="8" width="6.7109375" style="35" customWidth="1"/>
    <col min="9" max="15" width="14.7109375" style="35" customWidth="1"/>
    <col min="16" max="16" width="0.85546875" style="35" customWidth="1"/>
    <col min="17" max="17" width="25" style="35" customWidth="1"/>
    <col min="18" max="18" width="23.5703125" style="35" bestFit="1" customWidth="1"/>
    <col min="19" max="19" width="15.5703125" style="35" customWidth="1"/>
    <col min="20" max="20" width="20.85546875" style="35" bestFit="1" customWidth="1"/>
    <col min="21" max="21" width="32.42578125" style="35" bestFit="1" customWidth="1"/>
    <col min="22" max="16384" width="14.7109375" style="35"/>
  </cols>
  <sheetData>
    <row r="1" spans="2:21" ht="32.1" customHeight="1" x14ac:dyDescent="0.25">
      <c r="B1" s="36" t="s">
        <v>2719</v>
      </c>
      <c r="Q1"/>
      <c r="R1"/>
    </row>
    <row r="2" spans="2:21" ht="18" customHeight="1" thickBot="1" x14ac:dyDescent="0.3">
      <c r="B2" s="74" t="s">
        <v>2720</v>
      </c>
      <c r="C2" s="74"/>
      <c r="D2" s="74"/>
      <c r="E2" s="74"/>
      <c r="F2" s="74"/>
      <c r="G2" s="74"/>
      <c r="H2" s="74"/>
    </row>
    <row r="3" spans="2:21" ht="18" customHeight="1" thickBot="1" x14ac:dyDescent="0.3">
      <c r="B3" s="32" t="s">
        <v>2721</v>
      </c>
      <c r="C3" s="33" t="s">
        <v>2707</v>
      </c>
      <c r="D3" s="33" t="s">
        <v>2708</v>
      </c>
      <c r="E3" s="33" t="s">
        <v>20</v>
      </c>
      <c r="F3" s="33" t="s">
        <v>2709</v>
      </c>
      <c r="G3" s="33" t="s">
        <v>2722</v>
      </c>
      <c r="H3" s="33" t="s">
        <v>2723</v>
      </c>
      <c r="I3" s="33" t="s">
        <v>2724</v>
      </c>
      <c r="J3" s="33" t="s">
        <v>9</v>
      </c>
      <c r="K3" s="33" t="s">
        <v>2725</v>
      </c>
      <c r="L3" s="33" t="s">
        <v>2726</v>
      </c>
      <c r="M3" s="33" t="s">
        <v>2727</v>
      </c>
      <c r="N3" s="34" t="s">
        <v>2728</v>
      </c>
      <c r="Q3"/>
      <c r="R3"/>
      <c r="S3"/>
      <c r="T3"/>
      <c r="U3"/>
    </row>
    <row r="4" spans="2:21" ht="18" customHeight="1" x14ac:dyDescent="0.25">
      <c r="B4" s="37">
        <v>1</v>
      </c>
      <c r="C4" s="38">
        <v>24225132</v>
      </c>
      <c r="D4" s="38" t="s">
        <v>2716</v>
      </c>
      <c r="E4" s="38" t="s">
        <v>18</v>
      </c>
      <c r="F4" s="38" t="s">
        <v>37</v>
      </c>
      <c r="G4" s="38" t="s">
        <v>2717</v>
      </c>
      <c r="H4" s="38" t="s">
        <v>24</v>
      </c>
      <c r="I4" s="38" t="s">
        <v>2718</v>
      </c>
      <c r="J4" s="38"/>
      <c r="K4" s="49">
        <v>43508</v>
      </c>
      <c r="L4" s="38" t="s">
        <v>38</v>
      </c>
      <c r="M4" s="38"/>
      <c r="N4" s="39" t="b">
        <v>0</v>
      </c>
      <c r="Q4"/>
      <c r="R4"/>
      <c r="S4"/>
      <c r="T4"/>
      <c r="U4"/>
    </row>
    <row r="5" spans="2:21" ht="18" customHeight="1" x14ac:dyDescent="0.25">
      <c r="B5" s="40">
        <v>2</v>
      </c>
      <c r="C5" s="41">
        <v>24225132</v>
      </c>
      <c r="D5" s="41" t="s">
        <v>2716</v>
      </c>
      <c r="E5" s="41" t="s">
        <v>18</v>
      </c>
      <c r="F5" s="41" t="s">
        <v>37</v>
      </c>
      <c r="G5" s="41" t="s">
        <v>2717</v>
      </c>
      <c r="H5" s="41" t="s">
        <v>24</v>
      </c>
      <c r="I5" s="41" t="s">
        <v>2718</v>
      </c>
      <c r="J5" s="41"/>
      <c r="K5" s="50">
        <v>43510</v>
      </c>
      <c r="L5" s="41" t="s">
        <v>42</v>
      </c>
      <c r="M5" s="41"/>
      <c r="N5" s="42" t="b">
        <v>0</v>
      </c>
      <c r="Q5" s="2"/>
      <c r="R5"/>
      <c r="S5"/>
      <c r="T5"/>
      <c r="U5"/>
    </row>
    <row r="6" spans="2:21" ht="18" customHeight="1" thickBot="1" x14ac:dyDescent="0.3">
      <c r="B6" s="43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5"/>
      <c r="Q6" s="2"/>
      <c r="R6"/>
      <c r="S6"/>
      <c r="T6"/>
      <c r="U6"/>
    </row>
    <row r="7" spans="2:21" ht="21.75" customHeight="1" x14ac:dyDescent="0.25">
      <c r="Q7"/>
      <c r="R7"/>
      <c r="S7"/>
      <c r="T7"/>
      <c r="U7"/>
    </row>
    <row r="8" spans="2:21" ht="18" customHeight="1" x14ac:dyDescent="0.25">
      <c r="Q8"/>
      <c r="R8"/>
      <c r="S8"/>
    </row>
    <row r="9" spans="2:21" ht="18" customHeight="1" x14ac:dyDescent="0.25">
      <c r="Q9"/>
      <c r="R9"/>
      <c r="S9"/>
    </row>
    <row r="10" spans="2:21" ht="18" customHeight="1" x14ac:dyDescent="0.25">
      <c r="Q10"/>
      <c r="R10"/>
      <c r="S10"/>
    </row>
    <row r="11" spans="2:21" ht="18" customHeight="1" x14ac:dyDescent="0.25">
      <c r="Q11"/>
      <c r="R11"/>
      <c r="S11"/>
    </row>
    <row r="12" spans="2:21" ht="18" customHeight="1" x14ac:dyDescent="0.25">
      <c r="Q12"/>
      <c r="R12"/>
      <c r="S12"/>
    </row>
    <row r="13" spans="2:21" ht="18" customHeight="1" x14ac:dyDescent="0.25">
      <c r="Q13"/>
      <c r="R13"/>
      <c r="S13"/>
    </row>
    <row r="14" spans="2:21" ht="18" customHeight="1" x14ac:dyDescent="0.25">
      <c r="Q14"/>
      <c r="R14"/>
      <c r="S14"/>
    </row>
    <row r="15" spans="2:21" ht="18" customHeight="1" x14ac:dyDescent="0.25">
      <c r="Q15"/>
      <c r="R15"/>
      <c r="S15"/>
    </row>
    <row r="16" spans="2:21" ht="18" customHeight="1" x14ac:dyDescent="0.25">
      <c r="Q16"/>
      <c r="R16"/>
      <c r="S16"/>
    </row>
    <row r="17" spans="17:19" ht="18" customHeight="1" x14ac:dyDescent="0.25">
      <c r="Q17"/>
      <c r="R17"/>
      <c r="S17"/>
    </row>
    <row r="18" spans="17:19" ht="18" customHeight="1" x14ac:dyDescent="0.25">
      <c r="Q18"/>
      <c r="R18"/>
      <c r="S18"/>
    </row>
    <row r="19" spans="17:19" ht="18" customHeight="1" x14ac:dyDescent="0.25">
      <c r="Q19"/>
      <c r="R19"/>
      <c r="S19"/>
    </row>
    <row r="20" spans="17:19" ht="18" customHeight="1" x14ac:dyDescent="0.25">
      <c r="Q20"/>
      <c r="R20"/>
      <c r="S20"/>
    </row>
  </sheetData>
  <mergeCells count="1">
    <mergeCell ref="B2:H2"/>
  </mergeCells>
  <pageMargins left="0.70866141732283505" right="0.70866141732283505" top="0.74803149606299202" bottom="0.78740157499999996" header="0.3" footer="0.3"/>
  <pageSetup paperSize="9" scale="64" pageOrder="overThenDown" orientation="landscape" r:id="rId1"/>
  <headerFooter scaleWithDoc="0">
    <oddHeader>&amp;LDir E ET
Bearbeiter: XXXX&amp;R&amp;D
70XXXX</oddHeader>
  </headerFooter>
</worksheet>
</file>

<file path=customUI/customUI.xml><?xml version="1.0" encoding="utf-8"?>
<customUI xmlns="http://schemas.microsoft.com/office/2006/01/customui">
  <ribbon>
    <tabs>
      <tab id="TabSCH" label="ET Schiessen" insertBeforeMso="TabHome">
        <group id="Quartal" label="Schießen">
          <button id="HB1" onAction="M_home" label="Startseite" imageMso="OpenStartPage" size="large"/>
          <button id="HB2" onAction="M_personal" label="Personal" imageMso="CheckNames" size="large"/>
          <button id="HB3" onAction="M_config" label="Einstellungen" imageMso="AddInCommandsMenu" size="large"/>
        </group>
        <group id="Statistik" label="Statistik">
          <button id="ZGMB10" onAction="M_ZG1" label="Statistik" imageMso="PivotTableLayoutReportLayout" size="large"/>
        </group>
      </tab>
    </tabs>
  </ribbon>
</customUI>
</file>

<file path=customUI/customUI14.xml><?xml version="1.0" encoding="utf-8"?>
<customUI xmlns="http://schemas.microsoft.com/office/2006/01/customui">
  <ribbon>
    <tabs>
      <tab id="TabSCH" label="ET Schiessen" insertBeforeMso="TabHome">
        <group id="Quartal" label="Schießen">
          <button id="HB1" onAction="M_home" label="Startseite" imageMso="OpenStartPage" size="large"/>
          <button id="HB2" onAction="M_personal" label="Personal" imageMso="CheckNames" size="large"/>
          <button id="HB3" onAction="M_config" label="Einstellungen" imageMso="AddInCommandsMenu" size="large"/>
        </group>
        <group id="Statistik" label="Statistik">
          <button id="ZGMB10" onAction="M_ZG1" label="Statistik" imageMso="PivotTableLayoutReportLayout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Info</vt:lpstr>
      <vt:lpstr>Schießnachweis</vt:lpstr>
      <vt:lpstr>Zielgruppen</vt:lpstr>
      <vt:lpstr>Schießen</vt:lpstr>
      <vt:lpstr>keine Schützen</vt:lpstr>
      <vt:lpstr>Urliste_schiessen</vt:lpstr>
    </vt:vector>
  </TitlesOfParts>
  <Company>PolPräs Berlin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Huschenhöfer, Christoph</dc:creator>
  <cp:lastModifiedBy>Chris Hu</cp:lastModifiedBy>
  <cp:lastPrinted>2019-01-14T12:46:05Z</cp:lastPrinted>
  <dcterms:created xsi:type="dcterms:W3CDTF">2018-04-04T11:30:51Z</dcterms:created>
  <dcterms:modified xsi:type="dcterms:W3CDTF">2019-03-26T17:24:54Z</dcterms:modified>
</cp:coreProperties>
</file>